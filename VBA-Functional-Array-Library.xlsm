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VBA\VBA-Functional-Array-Library\"/>
    </mc:Choice>
  </mc:AlternateContent>
  <xr:revisionPtr revIDLastSave="0" documentId="13_ncr:1_{F9B30774-0BBF-43B1-83D1-2C194B849EAC}" xr6:coauthVersionLast="36" xr6:coauthVersionMax="45" xr10:uidLastSave="{00000000-0000-0000-0000-000000000000}"/>
  <bookViews>
    <workbookView xWindow="-105" yWindow="-105" windowWidth="19425" windowHeight="11025" xr2:uid="{F9FDB8B6-EBD3-46F7-8154-33B269A0E26D}"/>
  </bookViews>
  <sheets>
    <sheet name="Sheet2" sheetId="60" r:id="rId1"/>
    <sheet name="check" sheetId="58" r:id="rId2"/>
    <sheet name="Sheet3" sheetId="61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61" l="1"/>
  <c r="A10" i="61"/>
  <c r="A43" i="61"/>
  <c r="A4" i="61"/>
  <c r="A5" i="61"/>
  <c r="A6" i="61"/>
  <c r="A7" i="61"/>
  <c r="A8" i="61"/>
  <c r="A11" i="61"/>
  <c r="A12" i="61"/>
  <c r="A13" i="61"/>
  <c r="A14" i="61"/>
  <c r="A15" i="61"/>
  <c r="A16" i="61"/>
  <c r="A17" i="61"/>
  <c r="A18" i="61"/>
  <c r="A19" i="61"/>
  <c r="A20" i="61"/>
  <c r="A21" i="61"/>
  <c r="A22" i="61"/>
  <c r="A23" i="61"/>
  <c r="A24" i="61"/>
  <c r="A25" i="61"/>
  <c r="A26" i="61"/>
  <c r="A27" i="61"/>
  <c r="A28" i="61"/>
  <c r="A29" i="61"/>
  <c r="A30" i="61"/>
  <c r="A31" i="61"/>
  <c r="A32" i="61"/>
  <c r="A33" i="61"/>
  <c r="A34" i="61"/>
  <c r="A35" i="61"/>
  <c r="A36" i="61"/>
  <c r="A37" i="61"/>
  <c r="A38" i="61"/>
  <c r="A42" i="61"/>
  <c r="A39" i="61"/>
  <c r="A40" i="61"/>
  <c r="A41" i="61"/>
  <c r="A3" i="61"/>
  <c r="A40" i="58" l="1"/>
  <c r="A4" i="58"/>
  <c r="A5" i="58"/>
  <c r="A6" i="58"/>
  <c r="A7" i="58"/>
  <c r="A8" i="58"/>
  <c r="A9" i="58"/>
  <c r="A10" i="58"/>
  <c r="A11" i="58"/>
  <c r="A12" i="58"/>
  <c r="A13" i="58"/>
  <c r="A14" i="58"/>
  <c r="A15" i="58"/>
  <c r="A16" i="58"/>
  <c r="A17" i="58"/>
  <c r="A18" i="58"/>
  <c r="A19" i="58"/>
  <c r="A20" i="58"/>
  <c r="A21" i="58"/>
  <c r="A22" i="58"/>
  <c r="A23" i="58"/>
  <c r="A24" i="58"/>
  <c r="A25" i="58"/>
  <c r="A26" i="58"/>
  <c r="A27" i="58"/>
  <c r="A28" i="58"/>
  <c r="A29" i="58"/>
  <c r="A30" i="58"/>
  <c r="A31" i="58"/>
  <c r="A32" i="58"/>
  <c r="A33" i="58"/>
  <c r="A34" i="58"/>
  <c r="A35" i="58"/>
  <c r="A36" i="58"/>
  <c r="A37" i="58"/>
  <c r="A38" i="58"/>
  <c r="A39" i="58"/>
  <c r="A3" i="58"/>
</calcChain>
</file>

<file path=xl/sharedStrings.xml><?xml version="1.0" encoding="utf-8"?>
<sst xmlns="http://schemas.openxmlformats.org/spreadsheetml/2006/main" count="1505" uniqueCount="614">
  <si>
    <t>calc</t>
  </si>
  <si>
    <t>arg2</t>
  </si>
  <si>
    <t>arg3</t>
  </si>
  <si>
    <t>arg4</t>
  </si>
  <si>
    <t>arg5</t>
  </si>
  <si>
    <t>a</t>
    <phoneticPr fontId="1"/>
  </si>
  <si>
    <t>calc</t>
    <phoneticPr fontId="1"/>
  </si>
  <si>
    <t>+</t>
    <phoneticPr fontId="1"/>
  </si>
  <si>
    <t>_a</t>
    <phoneticPr fontId="1"/>
  </si>
  <si>
    <t>*</t>
  </si>
  <si>
    <t>*</t>
    <phoneticPr fontId="1"/>
  </si>
  <si>
    <t>sp</t>
    <phoneticPr fontId="1"/>
  </si>
  <si>
    <t>l_</t>
    <phoneticPr fontId="1"/>
  </si>
  <si>
    <t>_sp</t>
    <phoneticPr fontId="1"/>
  </si>
  <si>
    <t>mkMAryseq</t>
    <phoneticPr fontId="1"/>
  </si>
  <si>
    <t>x</t>
    <phoneticPr fontId="1"/>
  </si>
  <si>
    <t>_x</t>
  </si>
  <si>
    <t>_x</t>
    <phoneticPr fontId="1"/>
  </si>
  <si>
    <t>mapA</t>
    <phoneticPr fontId="1"/>
  </si>
  <si>
    <t>mkSeq</t>
    <phoneticPr fontId="1"/>
  </si>
  <si>
    <t>y</t>
    <phoneticPr fontId="1"/>
  </si>
  <si>
    <t>_y</t>
    <phoneticPr fontId="1"/>
  </si>
  <si>
    <t>reshapeAry</t>
    <phoneticPr fontId="1"/>
  </si>
  <si>
    <t>b</t>
    <phoneticPr fontId="1"/>
  </si>
  <si>
    <t>c</t>
    <phoneticPr fontId="1"/>
  </si>
  <si>
    <t>mkMArySeq</t>
    <phoneticPr fontId="1"/>
  </si>
  <si>
    <t>pl</t>
    <phoneticPr fontId="1"/>
  </si>
  <si>
    <t>_pl</t>
    <phoneticPr fontId="1"/>
  </si>
  <si>
    <t>poly</t>
    <phoneticPr fontId="1"/>
  </si>
  <si>
    <t>polyStr</t>
    <phoneticPr fontId="1"/>
  </si>
  <si>
    <t>math</t>
    <phoneticPr fontId="1"/>
  </si>
  <si>
    <t>sin</t>
    <phoneticPr fontId="1"/>
  </si>
  <si>
    <t>atn</t>
    <phoneticPr fontId="1"/>
  </si>
  <si>
    <t>pi_quarter</t>
    <phoneticPr fontId="1"/>
  </si>
  <si>
    <t>_pi_quarter</t>
    <phoneticPr fontId="1"/>
  </si>
  <si>
    <t>sqr</t>
    <phoneticPr fontId="1"/>
  </si>
  <si>
    <t>root2</t>
    <phoneticPr fontId="1"/>
  </si>
  <si>
    <t>_root2</t>
    <phoneticPr fontId="1"/>
  </si>
  <si>
    <t>/</t>
    <phoneticPr fontId="1"/>
  </si>
  <si>
    <t>VBA-Functional-Array-Library.xlsm</t>
  </si>
  <si>
    <t>module</t>
  </si>
  <si>
    <t>lines</t>
  </si>
  <si>
    <t>def line</t>
  </si>
  <si>
    <t>signature</t>
  </si>
  <si>
    <t>type</t>
  </si>
  <si>
    <t>modAry</t>
  </si>
  <si>
    <t>lenAry</t>
  </si>
  <si>
    <t>Function lenAry(ary As Variant, Optional dm = 1) As Long</t>
  </si>
  <si>
    <t>Function</t>
  </si>
  <si>
    <t>ary As Variant
Optional dm = 1</t>
  </si>
  <si>
    <t>Long</t>
  </si>
  <si>
    <t>getAryAt</t>
  </si>
  <si>
    <t>setAryAt</t>
  </si>
  <si>
    <t>Sub</t>
  </si>
  <si>
    <t>getMAryAt</t>
  </si>
  <si>
    <t>setMAryAt</t>
  </si>
  <si>
    <t>conArys</t>
  </si>
  <si>
    <t>Function conArys(ParamArray argArys())</t>
  </si>
  <si>
    <t>ParamArray argArys()</t>
  </si>
  <si>
    <t>mkSameAry</t>
  </si>
  <si>
    <t>mkSeq</t>
  </si>
  <si>
    <t>dropAry</t>
  </si>
  <si>
    <t>takeAry</t>
  </si>
  <si>
    <t>revAry</t>
  </si>
  <si>
    <t>Function revAry(ary)</t>
  </si>
  <si>
    <t>ary</t>
  </si>
  <si>
    <t>zip</t>
  </si>
  <si>
    <t>Function zip(ParamArray argArys())</t>
  </si>
  <si>
    <t>zipAry</t>
  </si>
  <si>
    <t>Function zipAry(arys)</t>
  </si>
  <si>
    <t>arys</t>
  </si>
  <si>
    <t>prmAry</t>
  </si>
  <si>
    <t>Function prmAry(ParamArray argAry())</t>
  </si>
  <si>
    <t>ParamArray argAry()</t>
  </si>
  <si>
    <t>inAry</t>
  </si>
  <si>
    <t>Function inAry(ary As Variant, elm As Variant) As Boolean</t>
  </si>
  <si>
    <t>ary As Variant
elm As Variant</t>
  </si>
  <si>
    <t>Boolean</t>
  </si>
  <si>
    <t>dimAry</t>
  </si>
  <si>
    <t>Public Function dimAry(ByVal ary As Variant) As Long</t>
  </si>
  <si>
    <t>Public Function</t>
  </si>
  <si>
    <t>ByVal ary As Variant</t>
  </si>
  <si>
    <t>getAryShape</t>
  </si>
  <si>
    <t>Function getAryShape(ary, Optional typ = "N")</t>
  </si>
  <si>
    <t>ary
Optional typ = "N"</t>
  </si>
  <si>
    <t>getAryNum</t>
  </si>
  <si>
    <t>mkIndex</t>
  </si>
  <si>
    <t>getElm</t>
  </si>
  <si>
    <t>setElm</t>
  </si>
  <si>
    <t>Sub setElm(vl, ary, idx)</t>
  </si>
  <si>
    <t>vl
ary
idx</t>
  </si>
  <si>
    <t>setAryMbyS</t>
  </si>
  <si>
    <t>Sub setAryMbyS(mAry, sAry)</t>
  </si>
  <si>
    <t>mAry
sAry</t>
  </si>
  <si>
    <t>getArySbyM</t>
  </si>
  <si>
    <t>reshapeAry</t>
  </si>
  <si>
    <t>calcAry</t>
  </si>
  <si>
    <t>Function calcAry(ary1, ary2, symbol As String)</t>
  </si>
  <si>
    <t>ary1
ary2
symbol As String</t>
  </si>
  <si>
    <t>calcMAry</t>
  </si>
  <si>
    <t>mkMAry</t>
  </si>
  <si>
    <t>l_</t>
  </si>
  <si>
    <t>Function l_(ParamArray argAry() As Variant)</t>
  </si>
  <si>
    <t>ParamArray argAry() As Variant</t>
  </si>
  <si>
    <t>setMArySeq</t>
  </si>
  <si>
    <t>ary
Optional first = 1
Optional step = 1</t>
  </si>
  <si>
    <t>set1DArySeq</t>
  </si>
  <si>
    <t>Sub set1DArySeq(ary, Optional first = 1, Optional step = 1)</t>
  </si>
  <si>
    <t>set2DArySeq</t>
  </si>
  <si>
    <t>Sub set2DArySeq(ary, Optional first = 1, Optional step = 1)</t>
  </si>
  <si>
    <t>set3DArySeq</t>
  </si>
  <si>
    <t>Sub set3DArySeq(ary, Optional first = 1, Optional step = 1)</t>
  </si>
  <si>
    <t>mk2DSeq</t>
  </si>
  <si>
    <t>Function mk2DSeq(r, c, Optional first = 1, Optional step = 1, Optional bs = 0)</t>
  </si>
  <si>
    <t>r
c
Optional first = 1
Optional step = 1
Optional bs = 0</t>
  </si>
  <si>
    <t>mk3DSeq</t>
  </si>
  <si>
    <t>Function mk3DSeq(r, c, h, Optional first = 1, Optional step = 1, Optional bs = 0)</t>
  </si>
  <si>
    <t>r
c
h
Optional first = 1
Optional step = 1
Optional bs = 0</t>
  </si>
  <si>
    <t>mkMArySeq</t>
  </si>
  <si>
    <t>Std</t>
  </si>
  <si>
    <t>modCheck</t>
  </si>
  <si>
    <t>Optional tbln = "check"</t>
  </si>
  <si>
    <t>clmnn
tbln
Optional bn = ""</t>
  </si>
  <si>
    <t>modEq</t>
  </si>
  <si>
    <t>testEqAry</t>
  </si>
  <si>
    <t>Sub testEqAry()</t>
  </si>
  <si>
    <t>areBothAry</t>
  </si>
  <si>
    <t>Function areBothAry(ary1, ary2) As Boolean</t>
  </si>
  <si>
    <t>ary1
ary2</t>
  </si>
  <si>
    <t>haveSameDimension</t>
  </si>
  <si>
    <t>Function haveSameDimension(ary1, ary2) As Boolean</t>
  </si>
  <si>
    <t>hasDimensionOne</t>
  </si>
  <si>
    <t>Function hasDimensionOne(ary1) As Boolean</t>
  </si>
  <si>
    <t>ary1</t>
  </si>
  <si>
    <t>areSameLength</t>
  </si>
  <si>
    <t>Function areSameLength(ary1, ary2) As Boolean</t>
  </si>
  <si>
    <t>eqAry</t>
  </si>
  <si>
    <t>Function eqAry(ary1, ary2) As Boolean</t>
  </si>
  <si>
    <t>eqShape</t>
  </si>
  <si>
    <t>Function eqShape(ary1, ary2) As Boolean</t>
  </si>
  <si>
    <t>modFnc</t>
  </si>
  <si>
    <t>evalA</t>
  </si>
  <si>
    <t>Public Function evalA(argAry As Variant) As Variant</t>
  </si>
  <si>
    <t>argAry As Variant</t>
  </si>
  <si>
    <t>Variant</t>
  </si>
  <si>
    <t>mapA</t>
  </si>
  <si>
    <t>Public Function mapA(fnc As String, seq As Variant, ParamArray argAry() As Variant) As Variant</t>
  </si>
  <si>
    <t>fnc As String
seq As Variant
ParamArray argAry() As Variant</t>
  </si>
  <si>
    <t>fnc As String
mAry As Variant
ParamArray argAry() As Variant</t>
  </si>
  <si>
    <t>filterA</t>
  </si>
  <si>
    <t>foldA</t>
  </si>
  <si>
    <t>Public Function foldA(fnc As String, seq As Variant, init As Variant, ParamArray argAry() As Variant) As Variant</t>
  </si>
  <si>
    <t>fnc As String
seq As Variant
init As Variant
ParamArray argAry() As Variant</t>
  </si>
  <si>
    <t>foldAryA</t>
  </si>
  <si>
    <t>Public Function foldAryA(fnc As String, seq As Variant, init As Variant, ary) As Variant</t>
  </si>
  <si>
    <t>fnc As String
seq As Variant
init As Variant
ary</t>
  </si>
  <si>
    <t>reduceA</t>
  </si>
  <si>
    <t>Public Function reduceA(fnc As String, seq As Variant, ParamArray argAry() As Variant) As Variant</t>
  </si>
  <si>
    <t>foldF</t>
  </si>
  <si>
    <t>Public Function foldF(fnObj, seq As Variant, init As Variant) As Variant</t>
  </si>
  <si>
    <t>fnObj
seq As Variant
init As Variant</t>
  </si>
  <si>
    <t>reduceF</t>
  </si>
  <si>
    <t>Public Function reduceF(fnObj, seq As Variant) As Variant</t>
  </si>
  <si>
    <t>fnObj
seq As Variant</t>
  </si>
  <si>
    <t>applyF</t>
  </si>
  <si>
    <t>Function applyF(vl, fnObj, Optional argAsAry = False)</t>
  </si>
  <si>
    <t>vl
fnObj
Optional argAsAry = False</t>
  </si>
  <si>
    <t>applyFs</t>
  </si>
  <si>
    <t>Function applyFs(vl, fnObjs, Optional argAsAry = False)</t>
  </si>
  <si>
    <t>vl
fnObjs
Optional argAsAry = False</t>
  </si>
  <si>
    <t>getArity</t>
  </si>
  <si>
    <t>Function getArity(ary)</t>
  </si>
  <si>
    <t>mkF</t>
  </si>
  <si>
    <t>Function mkF(ParamArray argArys())</t>
  </si>
  <si>
    <t>zipApplyF</t>
  </si>
  <si>
    <t>Function zipApplyF(fnObj, ParamArray argAry())</t>
  </si>
  <si>
    <t>fnObj
ParamArray argAry()</t>
  </si>
  <si>
    <t>setAryMByF</t>
  </si>
  <si>
    <t>Sub setAryMByF(ary, fnObj)</t>
  </si>
  <si>
    <t>ary
fnObj</t>
  </si>
  <si>
    <t>negate</t>
  </si>
  <si>
    <t>Function negate(fnc As String, x, ParamArray argAry())</t>
  </si>
  <si>
    <t>fnc As String
x
ParamArray argAry()</t>
  </si>
  <si>
    <t>takeWhile</t>
  </si>
  <si>
    <t>dropWhile</t>
  </si>
  <si>
    <t>modLog</t>
  </si>
  <si>
    <t>outPut</t>
  </si>
  <si>
    <t>printAry</t>
  </si>
  <si>
    <t>printSimpleAry</t>
  </si>
  <si>
    <t>print1DAry</t>
  </si>
  <si>
    <t>print2DAry</t>
  </si>
  <si>
    <t>print3DAry</t>
  </si>
  <si>
    <t>printTime</t>
  </si>
  <si>
    <t>Function printTime(fnc As String, ParamArray argAry() As Variant)</t>
  </si>
  <si>
    <t>fnc As String
ParamArray argAry() As Variant</t>
  </si>
  <si>
    <t>modRng</t>
  </si>
  <si>
    <t>TLookup</t>
  </si>
  <si>
    <t>TSetUp</t>
  </si>
  <si>
    <t>Public Sub TSetUp(vl, key, tbl As String, targetCol As String, Optional sourceCol As String = "")</t>
  </si>
  <si>
    <t>Public Sub</t>
  </si>
  <si>
    <t>vl
key
tbl As String
targetCol As String
Optional sourceCol As String = ""</t>
  </si>
  <si>
    <t>layAryAt</t>
  </si>
  <si>
    <t>Sub layAryAt(ary, r, c, Optional rc = "r", Optional sn = "", Optional bn = "")</t>
  </si>
  <si>
    <t>ary
r
c
Optional rc = "r"
Optional sn = ""
Optional bn = ""</t>
  </si>
  <si>
    <t>rangeToAry</t>
  </si>
  <si>
    <t>Function rangeToAry(rg, Optional rc As String = "r", Optional num = 1)</t>
  </si>
  <si>
    <t>rg
Optional rc As String = "r"
Optional num = 1</t>
  </si>
  <si>
    <t>rangeToArys</t>
  </si>
  <si>
    <t>Function rangeToArys(rg, Optional rc As String = "r")</t>
  </si>
  <si>
    <t>rg
Optional rc As String = "r"</t>
  </si>
  <si>
    <t>modTest</t>
  </si>
  <si>
    <t>conStr</t>
  </si>
  <si>
    <t>Function conStr(a, b, dlm)</t>
  </si>
  <si>
    <t>a
b
dlm</t>
  </si>
  <si>
    <t>mk2DSeq1</t>
  </si>
  <si>
    <t>mkSequence</t>
  </si>
  <si>
    <t>Function mkSequence(r, n, Optional first = 1, Optional step = 1) As Variant()</t>
  </si>
  <si>
    <t>r
n
Optional first = 1
Optional step = 1</t>
  </si>
  <si>
    <t>Variant()</t>
  </si>
  <si>
    <t>addBtn</t>
  </si>
  <si>
    <t>Sub addBtn(rn, mn, Optional cn = "run", Optional sn = "", Optional bn = "")</t>
  </si>
  <si>
    <t>rn
mn
Optional cn = "run"
Optional sn = ""
Optional bn = ""</t>
  </si>
  <si>
    <t>getFileByDialog</t>
  </si>
  <si>
    <t>getFilePart</t>
  </si>
  <si>
    <t>Function getFilePart(pn, prm) As String</t>
  </si>
  <si>
    <t>pn
prm</t>
  </si>
  <si>
    <t>String</t>
  </si>
  <si>
    <t>testDialog</t>
  </si>
  <si>
    <t>Sub testDialog()</t>
  </si>
  <si>
    <t>modUtil</t>
  </si>
  <si>
    <t>toString</t>
  </si>
  <si>
    <t>getDlm</t>
  </si>
  <si>
    <t>shape
idx
Optional insheet As Boolean = False</t>
  </si>
  <si>
    <t>secToHMS</t>
  </si>
  <si>
    <t>Function secToHMS(vl As Double)</t>
  </si>
  <si>
    <t>vl As Double</t>
  </si>
  <si>
    <t>clcToAry</t>
  </si>
  <si>
    <t>flattenAry</t>
  </si>
  <si>
    <t>Function flattenAry(ary)</t>
  </si>
  <si>
    <t>mcLike</t>
  </si>
  <si>
    <t>Function mcLike(word As String, wildcard As String, Optional include As Boolean = True) As Boolean</t>
  </si>
  <si>
    <t>word As String
wildcard As String
Optional include As Boolean = True</t>
  </si>
  <si>
    <t>mcJoin</t>
  </si>
  <si>
    <t>Function mcJoin(ary, Optional dlm As String = "", Optional pre As String = "", Optional suf As String = "") As String</t>
  </si>
  <si>
    <t>ary
Optional dlm As String = ""
Optional pre As String = ""
Optional suf As String = ""</t>
  </si>
  <si>
    <t>addStr</t>
  </si>
  <si>
    <t>Function addStr(body As String, Optional prefix As String = "", Optional suffix As String = "")</t>
  </si>
  <si>
    <t>body As String
Optional prefix As String = ""
Optional suffix As String = ""</t>
  </si>
  <si>
    <t>poly</t>
  </si>
  <si>
    <t>Function poly(x, polyAry)</t>
  </si>
  <si>
    <t>x
polyAry</t>
  </si>
  <si>
    <t>polyStr</t>
  </si>
  <si>
    <t>polyAry</t>
  </si>
  <si>
    <t>fmt</t>
  </si>
  <si>
    <t>align</t>
  </si>
  <si>
    <t>math</t>
  </si>
  <si>
    <t>comp</t>
  </si>
  <si>
    <t>info</t>
  </si>
  <si>
    <t>_b</t>
    <phoneticPr fontId="1"/>
  </si>
  <si>
    <t>x</t>
  </si>
  <si>
    <t>proc</t>
  </si>
  <si>
    <t>arg</t>
  </si>
  <si>
    <t>name</t>
  </si>
  <si>
    <t>[-5,-2,1,4,7,10]</t>
  </si>
  <si>
    <t>['a','b','c']</t>
  </si>
  <si>
    <t>[2,0,3,1,0]</t>
  </si>
  <si>
    <t>2X^4 +3X^2 +X'</t>
  </si>
  <si>
    <t>[1320,42,6,564,4956,20310]</t>
  </si>
  <si>
    <t>[2,3]</t>
  </si>
  <si>
    <t>[-25,-10,5;_x000D_
 20,35,50]</t>
  </si>
  <si>
    <t>[3,5]</t>
  </si>
  <si>
    <t>[3,8,13,18,23;_x000D_
 28,33,38,43,48;_x000D_
 53,58,63,68,73]</t>
  </si>
  <si>
    <t>[15,40,65,90,115;_x000D_
 140,165,190,215,240;_x000D_
 265,290,315,340,365]</t>
  </si>
  <si>
    <t>[2,3,4]</t>
  </si>
  <si>
    <t>[1,2,3,4;_x000D_
 5,6,7,8;_x000D_
 9,10,11,12;;_x000D_
_x000D_
 13,14,15,16;_x000D_
 17,18,19,20;_x000D_
 21,22,23,24]</t>
  </si>
  <si>
    <t>[5,10,15,20;_x000D_
 25,30,35,40;_x000D_
 45,50,55,60;;_x000D_
_x000D_
 65,70,75,80;_x000D_
 85,90,95,100;_x000D_
 105,110,115,120]</t>
  </si>
  <si>
    <t>revAry</t>
    <phoneticPr fontId="1"/>
  </si>
  <si>
    <t>lp</t>
    <phoneticPr fontId="1"/>
  </si>
  <si>
    <t>_lp</t>
    <phoneticPr fontId="1"/>
  </si>
  <si>
    <t>[0,1,3,0,2]</t>
  </si>
  <si>
    <t>[-48,6,6,114,492,1302]</t>
  </si>
  <si>
    <t>X^3 +3X^2 +2'</t>
  </si>
  <si>
    <t>comment</t>
  </si>
  <si>
    <t>colon</t>
  </si>
  <si>
    <t>[lsg]et</t>
  </si>
  <si>
    <t>return</t>
  </si>
  <si>
    <t>Optional dialogType As fileSelectType = multiFiles
Optional title As String = ""
Optional initFolder As String = ""
Optional initialFile As String = ""
Optional extentions As String = "All Files,*.*"</t>
  </si>
  <si>
    <t>Function getFileByDialog(Optional dialogType As fileSelectType = multiFiles, Optional title As String = "", Optional initFolder As String = "", Optional initialFile As String = "", Optional extentions As String = "All Files,*.*")</t>
  </si>
  <si>
    <t>joinOneDelm</t>
  </si>
  <si>
    <t>a
b
delm</t>
  </si>
  <si>
    <t>Function joinOneDelm(a, b, delm)</t>
  </si>
  <si>
    <t>buildPaths</t>
  </si>
  <si>
    <t>ParamArray prms()</t>
  </si>
  <si>
    <t>Function buildPaths(ParamArray prms())</t>
  </si>
  <si>
    <t>testbuild</t>
  </si>
  <si>
    <t>Sub testbuild()</t>
  </si>
  <si>
    <t>uniqueAry</t>
  </si>
  <si>
    <t>Function uniqueAry(ary)</t>
  </si>
  <si>
    <t>modSort</t>
  </si>
  <si>
    <t>min2</t>
  </si>
  <si>
    <t>x
y</t>
  </si>
  <si>
    <t>Function min2(x, y)</t>
  </si>
  <si>
    <t>max2</t>
  </si>
  <si>
    <t>Function max2(x, y)</t>
  </si>
  <si>
    <t>mid3</t>
  </si>
  <si>
    <t>x
y
z</t>
  </si>
  <si>
    <t>Function mid3(x, y, z)</t>
  </si>
  <si>
    <t>qsortAry</t>
  </si>
  <si>
    <t>ary
Optional l = -1
Optional r = -1</t>
  </si>
  <si>
    <t>Function qsortAry(ary, Optional l = -1, Optional r = -1)</t>
  </si>
  <si>
    <t>qsortAry0</t>
  </si>
  <si>
    <t>ary
l
r</t>
  </si>
  <si>
    <t>Sub qsortAry0(ary, l, r)</t>
  </si>
  <si>
    <t>testSort</t>
  </si>
  <si>
    <t>Sub testSort()</t>
  </si>
  <si>
    <t>modSub</t>
  </si>
  <si>
    <t>id_</t>
  </si>
  <si>
    <t>Function id_(x)</t>
  </si>
  <si>
    <t>modFile</t>
  </si>
  <si>
    <t>mkMSameAry</t>
  </si>
  <si>
    <t>mkMSameAry</t>
    <phoneticPr fontId="1"/>
  </si>
  <si>
    <t>ary As Variant
pos As Variant
Optional base As Long = 1</t>
  </si>
  <si>
    <t>Function getMAryAt(ary As Variant, pos As Variant, Optional base As Long = 1)</t>
  </si>
  <si>
    <t>ByRef ary As Variant
pos As Variant
vl As Variant
Optional base As Long = 1</t>
  </si>
  <si>
    <t>Sub setMAryAt(ByRef ary As Variant, pos As Variant, vl As Variant, Optional base As Long = 1)</t>
  </si>
  <si>
    <t>vl
num As Long</t>
  </si>
  <si>
    <t>Function mkSameAry(vl, num As Long)</t>
  </si>
  <si>
    <t>num As Long
Optional first As Long = 1
Optional step As Long = 1</t>
  </si>
  <si>
    <t>Function mkSeq(num As Long, Optional first As Long = 1, Optional step As Long = 1)</t>
  </si>
  <si>
    <t>ary
num As Long</t>
  </si>
  <si>
    <t>Function dropAry(ary, num As Long)</t>
  </si>
  <si>
    <t>Function takeAry(ary, num As Long)</t>
  </si>
  <si>
    <t>mAry
Optional bs As Long = 0</t>
  </si>
  <si>
    <t>Function getArySbyM(mAry, Optional bs As Long = 0)</t>
  </si>
  <si>
    <t>ary
sp
Optional bs As Long = 0</t>
  </si>
  <si>
    <t>Function reshapeAry(ary, sp, Optional bs As Long = 0)</t>
  </si>
  <si>
    <t>num1 As Variant
num2 As Variant
symbol As String</t>
  </si>
  <si>
    <t>Function calc(num1 As Variant, num2 As Variant, symbol As String)</t>
  </si>
  <si>
    <t>sp
Optional bs As Long = 0</t>
  </si>
  <si>
    <t>Function mkMAry(sp, Optional bs As Long = 0)</t>
  </si>
  <si>
    <t>ary
Optional first As Long = 1
Optional step As Long = 1</t>
  </si>
  <si>
    <t>Sub setMArySeq(ary, Optional first As Long = 1, Optional step As Long = 1)</t>
  </si>
  <si>
    <t>vl
sp
Optional bs As Long = 0</t>
  </si>
  <si>
    <t>Function mkMSameAry(vl, sp, Optional bs As Long = 0)</t>
  </si>
  <si>
    <t>sp
Optional first As Long = 1
Optional step As Long = 1
Optional bs As Long = 0</t>
  </si>
  <si>
    <t>Function mkMArySeq(sp, Optional first As Long = 1, Optional step As Long = 1, Optional bs As Long = 0)</t>
  </si>
  <si>
    <t>str
Optional chr = "_"</t>
  </si>
  <si>
    <t>str As String</t>
  </si>
  <si>
    <t>Function getDlm(shape, idx, Optional insheet As Boolean = False) As String</t>
  </si>
  <si>
    <t>Function polyStr(polyAry) As String</t>
  </si>
  <si>
    <t>x
symbol As String</t>
  </si>
  <si>
    <t>Function math(x, symbol As String)</t>
  </si>
  <si>
    <t>x
y
symbol As String</t>
  </si>
  <si>
    <t>Function comp(x, y, symbol As String)</t>
  </si>
  <si>
    <t>Function info(x, symbol As String)</t>
  </si>
  <si>
    <t>Function getAryNum(ary) As Long</t>
  </si>
  <si>
    <t>['x','x','x','x','x';_x000D_
 'x','x','x','x','x';_x000D_
 'x','x','x','x','x']</t>
  </si>
  <si>
    <t>[[3,5],[3,5],[3,5],[3,5],[3,5];_x000D_
 [3,5],[3,5],[3,5],[3,5],[3,5];_x000D_
 [3,5],[3,5],[3,5],[3,5],[3,5]]</t>
  </si>
  <si>
    <t>id_</t>
    <phoneticPr fontId="1"/>
  </si>
  <si>
    <t>a'</t>
  </si>
  <si>
    <t>num As Long
shape
Optional lshape = Empty</t>
  </si>
  <si>
    <t>Function mkIndex(num As Long, shape, Optional lshape = Empty)</t>
  </si>
  <si>
    <t>ary1
ary2
symbol As String
Optional bs As Long = 0</t>
  </si>
  <si>
    <t>Function calcMAry(ary1, ary2, symbol As String, Optional bs As Long = 0)</t>
  </si>
  <si>
    <t>elm</t>
  </si>
  <si>
    <t>mkStatement</t>
  </si>
  <si>
    <t>rw
fncl</t>
  </si>
  <si>
    <t>evalFnAry</t>
  </si>
  <si>
    <t>fnAry
Optional retIsObj As Boolean = False</t>
  </si>
  <si>
    <t>Function evalFnAry(fnAry, Optional retIsObj As Boolean = False)</t>
  </si>
  <si>
    <t>evalObjA</t>
  </si>
  <si>
    <t>Public Function evalObjA(argAry As Variant) As Variant</t>
  </si>
  <si>
    <t>mkDic</t>
  </si>
  <si>
    <t>Function mkDic(ParamArray argAry())</t>
  </si>
  <si>
    <t>lookupDic</t>
  </si>
  <si>
    <t>x
dic
Optional default = Empty</t>
  </si>
  <si>
    <t>Function lookupDic(x, dic, Optional default = Empty)</t>
  </si>
  <si>
    <t>mkClc</t>
  </si>
  <si>
    <t>Function mkClc(ParamArray argAry())</t>
  </si>
  <si>
    <t>mapMA</t>
  </si>
  <si>
    <t>Public Function mapMA(fnc As String, mAry As Variant, ParamArray argAry() As Variant) As Variant</t>
  </si>
  <si>
    <t>fnc As String
ary
dir As Direction
ParamArray argAry()</t>
  </si>
  <si>
    <t>Function takeWhile(fnc As String, ary, dir As Direction, ParamArray argAry())</t>
  </si>
  <si>
    <t>Function dropWhile(fnc As String, ary, dir As Direction, ParamArray argAry())</t>
  </si>
  <si>
    <t>Optional msg As Variant = ""
Optional crlf As Boolean = True</t>
  </si>
  <si>
    <t>Sub outPut(Optional msg As Variant = "", Optional crlf As Boolean = True)</t>
  </si>
  <si>
    <t>ary
Optional flush As Long = 1000</t>
  </si>
  <si>
    <t>Sub print1DAry(ary, Optional flush As Long = 1000)</t>
  </si>
  <si>
    <t>Sub print2DAry(ary, Optional flush As Long = 1000)</t>
  </si>
  <si>
    <t>Sub print3DAry(ary, Optional flush As Long = 1000)</t>
  </si>
  <si>
    <t>key
tbl As String
targetCol As String
Optional sourceCol As String = ""
Optional otherwise = Empty</t>
  </si>
  <si>
    <t>Public Function TLookup(key, tbl As String, targetCol As String, Optional sourceCol As String = "", Optional otherwise = Empty) As Variant</t>
  </si>
  <si>
    <t>r
c
Optional first As Long = 1
Optional step As Long = 1
Optional bs As Long = 0</t>
  </si>
  <si>
    <t>Function mk2DSeq1(r, c, Optional first As Long = 1, Optional step As Long = 1, Optional bs As Long = 0)</t>
  </si>
  <si>
    <t>dicToStr</t>
  </si>
  <si>
    <t>dic</t>
  </si>
  <si>
    <t>Function dicToStr(dic) As String</t>
  </si>
  <si>
    <t>clcToStr</t>
  </si>
  <si>
    <t>clc</t>
  </si>
  <si>
    <t>Function clcToStr(clc) As String</t>
  </si>
  <si>
    <t>Function clcToAry(clc)</t>
  </si>
  <si>
    <t>expr
Optional fm As String = ""
Optional lcr As AlignDirection = AlignDirection.faRight
Optional width As Long = 0</t>
  </si>
  <si>
    <t>Function fmt(expr, Optional fm As String = "", Optional lcr As AlignDirection = AlignDirection.faRight, Optional width As Long = 0) As String</t>
  </si>
  <si>
    <t>str As String
Optional lcr As AlignDirection = AlignDirection.faRight
Optional width As Long = 0</t>
  </si>
  <si>
    <t>Function align(str As String, Optional lcr As AlignDirection = AlignDirection.faRight, Optional width As Long = 0) As String</t>
  </si>
  <si>
    <t>=</t>
    <phoneticPr fontId="1"/>
  </si>
  <si>
    <t>str1</t>
    <phoneticPr fontId="1"/>
  </si>
  <si>
    <t>mkdic</t>
    <phoneticPr fontId="1"/>
  </si>
  <si>
    <t>__dic</t>
    <phoneticPr fontId="1"/>
  </si>
  <si>
    <t>__tmp</t>
    <phoneticPr fontId="1"/>
  </si>
  <si>
    <t>mkclc</t>
    <phoneticPr fontId="1"/>
  </si>
  <si>
    <t>__clc</t>
    <phoneticPr fontId="1"/>
  </si>
  <si>
    <t>[-25,-10,5,20,35,50]</t>
    <phoneticPr fontId="1"/>
  </si>
  <si>
    <t>z</t>
    <phoneticPr fontId="1"/>
  </si>
  <si>
    <t>fnc As String
seq As Variant
affirmative As Boolean
ParamArray argAry() As Variant</t>
  </si>
  <si>
    <t>Public Function filterA(fnc As String, seq As Variant, affirmative As Boolean, ParamArray argAry() As Variant) As Variant</t>
  </si>
  <si>
    <t>[[-5,-2,1,4,7,10],4]</t>
    <phoneticPr fontId="1"/>
  </si>
  <si>
    <t>ary As Variant
pos As Long
Optional base As Long = 1</t>
  </si>
  <si>
    <t>Function getAryAt(ary As Variant, pos As Long, Optional base As Long = 1)</t>
  </si>
  <si>
    <t>ByRef ary As Variant
pos As Long
vl As Variant
Optional base As Long = 1</t>
  </si>
  <si>
    <t>Sub setAryAt(ByRef ary As Variant, pos As Long, vl As Variant, Optional base As Long = 1)</t>
  </si>
  <si>
    <t>ByRef ary
idx</t>
  </si>
  <si>
    <t>Function getElm(ByRef ary, idx)</t>
  </si>
  <si>
    <t>Assign</t>
  </si>
  <si>
    <t>ByRef Variable As Variant
ByVal Value As Variant</t>
  </si>
  <si>
    <t>Sub Assign(ByRef Variable As Variant, ByVal Value As Variant)</t>
  </si>
  <si>
    <t>checkconAry</t>
  </si>
  <si>
    <t>Sub checkconAry()</t>
  </si>
  <si>
    <t>checkReduce</t>
  </si>
  <si>
    <t>Sub checkReduce()</t>
  </si>
  <si>
    <t>checkFold</t>
  </si>
  <si>
    <t>Sub checkFold()</t>
  </si>
  <si>
    <t>checkCollection</t>
  </si>
  <si>
    <t>Sub checkCollection()</t>
  </si>
  <si>
    <t>checkSeq</t>
  </si>
  <si>
    <t>Sub checkSeq()</t>
  </si>
  <si>
    <t>checkToString</t>
  </si>
  <si>
    <t>Sub checkToString()</t>
  </si>
  <si>
    <t>checkDrop</t>
  </si>
  <si>
    <t>Sub checkDrop()</t>
  </si>
  <si>
    <t>checkTake</t>
  </si>
  <si>
    <t>Sub checkTake()</t>
  </si>
  <si>
    <t>checkCon</t>
  </si>
  <si>
    <t>Sub checkCon()</t>
  </si>
  <si>
    <t>checkMapA</t>
  </si>
  <si>
    <t>Sub checkMapA()</t>
  </si>
  <si>
    <t>checkRgt</t>
  </si>
  <si>
    <t>Sub checkRgt()</t>
  </si>
  <si>
    <t>checkRangeToArys</t>
  </si>
  <si>
    <t>Sub checkRangeToArys()</t>
  </si>
  <si>
    <t>checkElm</t>
  </si>
  <si>
    <t>Sub checkElm()</t>
  </si>
  <si>
    <t>checkRangeToAry</t>
  </si>
  <si>
    <t>Sub checkRangeToAry()</t>
  </si>
  <si>
    <t>checkAt</t>
  </si>
  <si>
    <t>Sub checkAt()</t>
  </si>
  <si>
    <t>checkadd</t>
  </si>
  <si>
    <t>Sub checkadd()</t>
  </si>
  <si>
    <t>checkShape</t>
  </si>
  <si>
    <t>Sub checkShape()</t>
  </si>
  <si>
    <t>checkApply</t>
  </si>
  <si>
    <t>Sub checkApply()</t>
  </si>
  <si>
    <t>checkmkF</t>
  </si>
  <si>
    <t>Sub checkmkF()</t>
  </si>
  <si>
    <t>checkPrmAry</t>
  </si>
  <si>
    <t>Sub checkPrmAry()</t>
  </si>
  <si>
    <t>checkFoldF</t>
  </si>
  <si>
    <t>Sub checkFoldF()</t>
  </si>
  <si>
    <t>checkZipApply</t>
  </si>
  <si>
    <t>Sub checkZipApply()</t>
  </si>
  <si>
    <t>checkZip</t>
  </si>
  <si>
    <t>Sub checkZip()</t>
  </si>
  <si>
    <t>checkAry</t>
  </si>
  <si>
    <t>Sub checkAry()</t>
  </si>
  <si>
    <t>checkZipArrayTime</t>
  </si>
  <si>
    <t>Sub checkZipArrayTime()</t>
  </si>
  <si>
    <t>checkGetAryNum</t>
  </si>
  <si>
    <t>Sub checkGetAryNum()</t>
  </si>
  <si>
    <t>checkMAry</t>
  </si>
  <si>
    <t>Sub checkMAry()</t>
  </si>
  <si>
    <t>checkFlatten</t>
  </si>
  <si>
    <t>Sub checkFlatten()</t>
  </si>
  <si>
    <t>checkReshape</t>
  </si>
  <si>
    <t>Sub checkReshape()</t>
  </si>
  <si>
    <t>checkSequence</t>
  </si>
  <si>
    <t>Sub checkSequence()</t>
  </si>
  <si>
    <t>checkMaryAccessor</t>
  </si>
  <si>
    <t>Sub checkMaryAccessor()</t>
  </si>
  <si>
    <t>checkl_</t>
  </si>
  <si>
    <t>Sub checkl_()</t>
  </si>
  <si>
    <t>checkmapMA</t>
  </si>
  <si>
    <t>Sub checkmapMA()</t>
  </si>
  <si>
    <t>checkSpill</t>
  </si>
  <si>
    <t>Sub checkSpill()</t>
  </si>
  <si>
    <t>checkSimpleAry</t>
  </si>
  <si>
    <t>Sub checkSimpleAry()</t>
  </si>
  <si>
    <t>check3DArray</t>
  </si>
  <si>
    <t>Sub check3DArray()</t>
  </si>
  <si>
    <t>check1DArray</t>
  </si>
  <si>
    <t>Sub check1DArray()</t>
  </si>
  <si>
    <t>checkPoly</t>
  </si>
  <si>
    <t>Sub checkPoly()</t>
  </si>
  <si>
    <t>checkmkSeq</t>
  </si>
  <si>
    <t>Sub checkmkSeq()</t>
  </si>
  <si>
    <t>checkCalcMary</t>
  </si>
  <si>
    <t>Sub checkCalcMary()</t>
  </si>
  <si>
    <t>checkfmt</t>
  </si>
  <si>
    <t>Sub checkfmt()</t>
  </si>
  <si>
    <t>checkMath</t>
  </si>
  <si>
    <t>Sub checkMath()</t>
  </si>
  <si>
    <t>checkWhile</t>
  </si>
  <si>
    <t>Sub checkWhile()</t>
  </si>
  <si>
    <t>checkInfo</t>
  </si>
  <si>
    <t>Sub checkInfo()</t>
  </si>
  <si>
    <t>checkDicStr</t>
  </si>
  <si>
    <t>Sub checkDicStr()</t>
  </si>
  <si>
    <t>checkClcStr</t>
  </si>
  <si>
    <t>Sub checkClcStr()</t>
  </si>
  <si>
    <t>checkDic</t>
  </si>
  <si>
    <t>Sub checkDic()</t>
  </si>
  <si>
    <t>getEqLevel</t>
  </si>
  <si>
    <t>Function getEqLevel(ary1, ary2)</t>
  </si>
  <si>
    <t>mkTestTbl</t>
  </si>
  <si>
    <t>Optional tbln = ""</t>
  </si>
  <si>
    <t>Sub mkTestTbl(Optional tbln = "")</t>
  </si>
  <si>
    <t>clearResult</t>
  </si>
  <si>
    <t>Sub clearResult(Optional tbln = "check")</t>
  </si>
  <si>
    <t>evalTestTbl</t>
  </si>
  <si>
    <t>Optional tbln = "check"
Optional dp As debugPrint = debugPrint.faNone</t>
  </si>
  <si>
    <t>Sub evalTestTbl(Optional tbln = "check", Optional dp As debugPrint = debugPrint.faNone)</t>
  </si>
  <si>
    <t>mkTestFnc</t>
  </si>
  <si>
    <t>tbl
Optional dp As debugPrint = debugPrint.faNone</t>
  </si>
  <si>
    <t>Function mkTestFnc(tbl, Optional dp As debugPrint = debugPrint.faNone) As String</t>
  </si>
  <si>
    <t>mkTestMod</t>
  </si>
  <si>
    <t>Optional sn = ""
Optional bn = ""</t>
  </si>
  <si>
    <t>Function mkTestMod(Optional sn = "", Optional bn = "") As String</t>
  </si>
  <si>
    <t>mkTestFile</t>
  </si>
  <si>
    <t>Sub mkTestFile(Optional sn = "", Optional bn = "")</t>
  </si>
  <si>
    <t>elmToStr</t>
  </si>
  <si>
    <t>Function elmToStr(elm)</t>
  </si>
  <si>
    <t>fnAryToExp</t>
  </si>
  <si>
    <t>fnAry0</t>
  </si>
  <si>
    <t>Function fnAryToExp(fnAry0) As String</t>
  </si>
  <si>
    <t>underBarCnt</t>
  </si>
  <si>
    <t>Function underBarCnt(str, Optional chr = "_")</t>
  </si>
  <si>
    <t>getVarStr</t>
  </si>
  <si>
    <t>Function getVarStr(str As String) As String</t>
  </si>
  <si>
    <t>getClmNum</t>
  </si>
  <si>
    <t>Function getClmNum(clmnn, tbln, Optional bn = "")</t>
  </si>
  <si>
    <t>tblRowToFnAry</t>
  </si>
  <si>
    <t>Function tblRowToFnAry(rw, fncl)</t>
  </si>
  <si>
    <t>elm
Optional qt As String = "'"
Optional fm As String = ""
Optional lcr As AlignDirection = AlignDirection.faRight
Optional width As Long = 0
Optional insheet As Boolean = False</t>
  </si>
  <si>
    <t>Function toString(elm, Optional qt As String = "'", Optional fm As String = "", Optional lcr As AlignDirection = AlignDirection.faRight, Optional width As Long = 0, Optional insheet As Boolean = False) As String</t>
  </si>
  <si>
    <t>ary
Optional qt As String = "'"
Optional fm As String = ""
Optional lcr As AlignDirection = AlignDirection.faRight
Optional width As Long = 0</t>
  </si>
  <si>
    <t>Sub printAry(ary, Optional qt As String = "'", Optional fm As String = "", Optional lcr As AlignDirection = AlignDirection.faRight, Optional width As Long = 0)</t>
  </si>
  <si>
    <t>check</t>
    <phoneticPr fontId="1"/>
  </si>
  <si>
    <t>assert</t>
  </si>
  <si>
    <t>kind</t>
  </si>
  <si>
    <t>statement</t>
  </si>
  <si>
    <t>expected</t>
  </si>
  <si>
    <t>actual</t>
  </si>
  <si>
    <t>variable</t>
  </si>
  <si>
    <t>function</t>
  </si>
  <si>
    <t>arg1</t>
  </si>
  <si>
    <t>a = 5 + 4</t>
  </si>
  <si>
    <t>b = 4</t>
  </si>
  <si>
    <t>a = b
Assert a , 4</t>
  </si>
  <si>
    <t>x = mkSeq(6,-5,3)</t>
  </si>
  <si>
    <t>[-25,-10,5,20,35,50]</t>
  </si>
  <si>
    <t>y = mapA("calc",x,5,"*")
Assert y , [-25,-10,5,20,35,50]</t>
  </si>
  <si>
    <t>pl = Array(2,0,3,1,0)</t>
  </si>
  <si>
    <t>str1 = polyStr(pl)
Assert str1 , 2X^4 +3X^2 +X'</t>
  </si>
  <si>
    <t>lp = revAry(pl)</t>
  </si>
  <si>
    <t>sp = Array(2,3)</t>
  </si>
  <si>
    <t>[[-5,-2,1,4,7,10],4]</t>
  </si>
  <si>
    <t>sp = Array(3,5)</t>
  </si>
  <si>
    <t>x = mkMArySeq(sp,3,5)</t>
  </si>
  <si>
    <t>sp = Array(2,3,4)</t>
  </si>
  <si>
    <t>x = mkMAryseq(sp)</t>
  </si>
  <si>
    <t>pi_quarter = atn(1)</t>
  </si>
  <si>
    <t>z = pi_quarter * 4</t>
  </si>
  <si>
    <t>root2 = sqr(2)
Assert root2 , 1.4142135623731</t>
  </si>
  <si>
    <t>Dic('a'=&gt;1,'b'=&gt;2)</t>
  </si>
  <si>
    <t>Set dic = mkdic("a",1,"b",2)</t>
  </si>
  <si>
    <t>Set tmp = dic</t>
  </si>
  <si>
    <t>__tmp1</t>
    <phoneticPr fontId="1"/>
  </si>
  <si>
    <t>Set tmp1 = mkclc(clc,4,sp)</t>
  </si>
  <si>
    <t>Clc(1,2,3)</t>
  </si>
  <si>
    <t>Clc(1,2,3)</t>
    <phoneticPr fontId="1"/>
  </si>
  <si>
    <t>Set clc = mkclc(1,2,3)</t>
  </si>
  <si>
    <t>Clc(Clc(1,2,3),4,[2,3,4])</t>
  </si>
  <si>
    <t>Set tmp = clc
Assert tmp , Clc(1,2,3)</t>
  </si>
  <si>
    <t>ary
Optional flush As Long = 1000
Optional qt As String = "'"</t>
  </si>
  <si>
    <t>Sub printSimpleAry(ary, Optional flush As Long = 1000, Optional qt As String = "'")</t>
  </si>
  <si>
    <t>fnAry0
vz
retIsObj
Optional assertKind
Optional expected
Optional dp As debugPrint = debugPrint.faNone</t>
  </si>
  <si>
    <t>Function mkStatement(fnAry0, vz, retIsObj, Optional assertKind, Optional expected, Optional dp As debugPrint = debugPrint.faNone) As String</t>
  </si>
  <si>
    <t>checkA</t>
    <phoneticPr fontId="1"/>
  </si>
  <si>
    <t>comp</t>
    <phoneticPr fontId="1"/>
  </si>
  <si>
    <t>&lt;</t>
    <phoneticPr fontId="1"/>
  </si>
  <si>
    <t>__tmp2</t>
    <phoneticPr fontId="1"/>
  </si>
  <si>
    <t>string</t>
  </si>
  <si>
    <t>=</t>
  </si>
  <si>
    <t>bol1</t>
    <phoneticPr fontId="1"/>
  </si>
  <si>
    <t>bol2</t>
    <phoneticPr fontId="1"/>
  </si>
  <si>
    <t>a = 5 + 4
Assert a , 9</t>
  </si>
  <si>
    <t>a = b</t>
  </si>
  <si>
    <t>bol1 = 3 &lt; 4
AssertTrue bol1</t>
  </si>
  <si>
    <t>bol2 = 4 &lt; 3
AssertFalse bol2</t>
  </si>
  <si>
    <t>b = a</t>
  </si>
  <si>
    <t>Set tmp = clc
Assert toString(tmp),"Clc(1,2,3)"</t>
  </si>
  <si>
    <t>Dic('a'=&gt;Dic('a'=&gt;1,'b'=&gt;2),'b'=&gt;Clc(1,2,3))</t>
  </si>
  <si>
    <t>Set clc = mkclc(1,2,3)
Assert toString(clc),"Clc(1,2,3)"</t>
  </si>
  <si>
    <t>Set tmp2 = mkdic("a",dic,"b",clc)
Assert toString(tmp2),"Dic('a'=&gt;Dic('a'=&gt;1,'b'=&gt;2),'b'=&gt;Clc(1,2,3))"</t>
  </si>
  <si>
    <t>y = mapMA("calc",x,5,"*")
Assert toString(y),
"[5,10,15,20;
 25,30,35,40;
 45,50,55,60;;
 65,70,75,80;
 85,90,95,100;
 105,110,115,120]"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</si>
</sst>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 quotePrefix="1" applyNumberFormat="1">
      <alignment vertical="center"/>
    </xf>
    <xf numFmtId="0" fontId="0" fillId="0" borderId="0" xfId="0" applyNumberFormat="1" applyAlignment="1">
      <alignment vertical="center" wrapText="1"/>
    </xf>
    <xf numFmtId="0" fontId="0" fillId="0" borderId="0" xfId="0" applyNumberFormat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applyNumberFormat="1" applyAlignment="1">
      <alignment horizontal="center" vertical="center" wrapText="1"/>
    </xf>
    <xf numFmtId="0" fontId="0" fillId="2" borderId="0" xfId="0" applyFill="1">
      <alignment vertical="center"/>
    </xf>
    <xf numFmtId="0" fontId="2" fillId="0" borderId="0" xfId="0" applyFont="1" applyAlignment="1">
      <alignment horizontal="left" vertical="top"/>
    </xf>
    <xf numFmtId="0" fontId="2" fillId="0" borderId="0" xfId="0" applyFont="1" applyAlignment="1">
      <alignment horizontal="left" vertical="top" wrapText="1"/>
    </xf>
    <xf numFmtId="0" fontId="0" fillId="0" borderId="0" xfId="0" quotePrefix="1" applyNumberFormat="1" applyAlignment="1">
      <alignment horizontal="center" vertical="center" wrapText="1"/>
    </xf>
  </cellXfs>
  <cellStyles count="1">
    <cellStyle name="標準" xfId="0" builtinId="0"/>
  </cellStyles>
  <dxfs count="3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 patternType="solid">
          <fgColor indexed="64"/>
          <bgColor theme="7" tint="0.59999389629810485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ill>
        <patternFill patternType="solid">
          <fgColor indexed="64"/>
          <bgColor theme="7" tint="0.59999389629810485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eval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4C082D41-12DF-406D-844E-3EF18D0606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eval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86AC69E8-B78F-4E55-9DF0-22FDE954BE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AAC4CBE-5E97-49E3-B94D-EB3BC9E37F31}" name="テーブル3" displayName="テーブル3" ref="A3:E14" totalsRowShown="0" headerRowDxfId="22" dataDxfId="23">
  <autoFilter ref="A3:E14" xr:uid="{EB4DCD55-939A-4466-84A4-9A2C8F26513A}"/>
  <tableColumns count="5">
    <tableColumn id="1" xr3:uid="{2C776001-26DC-41FF-A626-7A460757B98C}" name="module" dataDxfId="28"/>
    <tableColumn id="2" xr3:uid="{520B06C9-B773-4459-832C-AE50D9365F4E}" name="type" dataDxfId="27"/>
    <tableColumn id="3" xr3:uid="{CEF82FFD-43DA-4E8D-A032-1097F5C34F89}" name="proc" dataDxfId="26"/>
    <tableColumn id="4" xr3:uid="{5FA77ABD-2CF4-452C-8FAB-57F4C66B1208}" name="[lsg]et" dataDxfId="25"/>
    <tableColumn id="5" xr3:uid="{3965707C-1B29-4050-9D8D-965AF872621E}" name="lines" dataDxfId="2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DFB9A84-A050-4F17-A9DD-BB4E87315D8C}" name="テーブル4" displayName="テーブル4" ref="G3:M179" totalsRowShown="0" headerRowDxfId="13" dataDxfId="14">
  <autoFilter ref="G3:M179" xr:uid="{F8047BD0-DEDF-4747-9363-20FD3A7B8126}"/>
  <tableColumns count="7">
    <tableColumn id="1" xr3:uid="{020D75AC-4850-4112-96A3-63F45CCE946A}" name="module" dataDxfId="21"/>
    <tableColumn id="2" xr3:uid="{A06FA864-29BF-41C4-A3AB-01D621DE4EF9}" name="type" dataDxfId="20"/>
    <tableColumn id="3" xr3:uid="{EBD347EC-6475-4F65-A310-CAF1A6548F3E}" name="lines" dataDxfId="19"/>
    <tableColumn id="4" xr3:uid="{C19B87CA-EA60-4F3A-8FEA-6F36E3269580}" name="proc" dataDxfId="18"/>
    <tableColumn id="5" xr3:uid="{AC4084A8-8B23-44C7-BA90-BDD209F3FE5D}" name="name" dataDxfId="17"/>
    <tableColumn id="6" xr3:uid="{CD779C3B-F541-4AB7-8D41-D8D3860B6BA5}" name="arg" dataDxfId="16"/>
    <tableColumn id="7" xr3:uid="{079C91B5-E24B-45F3-8577-31F07AA72A23}" name="return" dataDxfId="1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E00E74D-A772-48DA-9840-DD4AE9670403}" name="check_" displayName="check_" ref="A2:L40" totalsRowShown="0">
  <autoFilter ref="A2:L40" xr:uid="{D5E12599-C90C-42C4-84AF-F253CB355B6A}"/>
  <tableColumns count="12">
    <tableColumn id="1" xr3:uid="{60803DC4-D5C5-4530-BF4E-9F67C3794DD3}" name="assert">
      <calculatedColumnFormula>IF(check_[[#This Row],[kind]]="=",IF(check_[[#This Row],[expected]]=check_[[#This Row],[actual]],"pass","fail"),"")</calculatedColumnFormula>
    </tableColumn>
    <tableColumn id="2" xr3:uid="{54B8D00E-AEDE-443B-8D19-97BA06CF8AC2}" name="kind" dataDxfId="33"/>
    <tableColumn id="3" xr3:uid="{F2A5810C-03A8-448C-ADC1-2D8BF072B88B}" name="statement" dataDxfId="32"/>
    <tableColumn id="4" xr3:uid="{6D1D25ED-4B6F-404C-BFB7-A8170021A9AB}" name="expected" dataDxfId="31"/>
    <tableColumn id="5" xr3:uid="{67A7612E-5F6D-4BC0-8F41-1B67A0C9F2A5}" name="actual" dataDxfId="30"/>
    <tableColumn id="6" xr3:uid="{EE638751-0549-43AD-B0FB-19B4845C7317}" name="variable"/>
    <tableColumn id="7" xr3:uid="{E598867F-B1CA-4B29-8CFC-5E1DFDCA5224}" name="function" dataDxfId="29"/>
    <tableColumn id="8" xr3:uid="{AFFBFD68-245F-43A9-9DDB-7CF37677FE81}" name="arg1"/>
    <tableColumn id="9" xr3:uid="{B4C40C4B-AC1C-4DE7-887B-433D660F5868}" name="arg2"/>
    <tableColumn id="10" xr3:uid="{E9645B7D-E29E-4162-AB49-A27AF7C198B5}" name="arg3"/>
    <tableColumn id="11" xr3:uid="{4C6712B6-F9E6-4D1B-A5A2-9D8F521F9B5C}" name="arg4"/>
    <tableColumn id="12" xr3:uid="{24D7FF0B-FF47-44CE-B01B-5D86C627998B}" name="arg5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15AD01A-DDDF-42D2-AA05-564BF0D85A61}" name="checkA" displayName="checkA" ref="A2:L43" totalsRowShown="0">
  <autoFilter ref="A2:L43" xr:uid="{0363ED76-6E77-42EE-AD51-E264A2928428}"/>
  <tableColumns count="12">
    <tableColumn id="1" xr3:uid="{27942C40-0AE5-418F-BC8E-CF07827311F9}" name="assert">
      <calculatedColumnFormula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calculatedColumnFormula>
    </tableColumn>
    <tableColumn id="2" xr3:uid="{2A4C406D-C3B7-44CF-B570-52792E313CC0}" name="kind" dataDxfId="12"/>
    <tableColumn id="3" xr3:uid="{5791881F-0811-4FA8-B421-0926D7FFBD5B}" name="statement" dataDxfId="11"/>
    <tableColumn id="4" xr3:uid="{D3B6D50B-18E3-472B-9B00-11BDC52D8909}" name="expected" dataDxfId="10"/>
    <tableColumn id="5" xr3:uid="{84829F22-E6C4-447D-9122-6499C8B04847}" name="actual" dataDxfId="9"/>
    <tableColumn id="6" xr3:uid="{8F9DF0C4-F830-463E-B8A7-8594C3A4EA95}" name="variable"/>
    <tableColumn id="7" xr3:uid="{B6E6E932-621B-4A06-BA58-BBF01A916CD9}" name="function" dataDxfId="8"/>
    <tableColumn id="8" xr3:uid="{D6D214D1-900D-4921-8CC6-05C0C3D53C47}" name="arg1"/>
    <tableColumn id="9" xr3:uid="{181E88D8-9940-48E5-8BE9-ABC38F7AB99C}" name="arg2"/>
    <tableColumn id="10" xr3:uid="{23E338B1-4736-41EA-BAB9-D7F8BA44FE80}" name="arg3"/>
    <tableColumn id="11" xr3:uid="{1FE5CA43-52AA-4B1F-953E-E9EABE5C04ED}" name="arg4"/>
    <tableColumn id="12" xr3:uid="{D06F9422-95C5-469E-AD8F-F6CED495788C}" name="arg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E0250-71A7-4FB3-B7B8-E1F94E00F0E1}">
  <sheetPr codeName="Sheet2"/>
  <dimension ref="A1:S179"/>
  <sheetViews>
    <sheetView showGridLines="0" tabSelected="1" topLeftCell="A25" workbookViewId="0">
      <selection activeCell="C30" sqref="C30"/>
    </sheetView>
  </sheetViews>
  <sheetFormatPr defaultRowHeight="12" x14ac:dyDescent="0.4"/>
  <cols>
    <col min="1" max="1" width="9.125" style="9" bestFit="1" customWidth="1"/>
    <col min="2" max="2" width="6.125" style="9" customWidth="1"/>
    <col min="3" max="3" width="6.375" style="9" customWidth="1"/>
    <col min="4" max="4" width="8.125" style="9" customWidth="1"/>
    <col min="5" max="5" width="6.5" style="9" customWidth="1"/>
    <col min="6" max="6" width="9" style="9"/>
    <col min="7" max="7" width="9.125" style="9" bestFit="1" customWidth="1"/>
    <col min="8" max="8" width="6.125" style="9" customWidth="1"/>
    <col min="9" max="9" width="6.5" style="9" customWidth="1"/>
    <col min="10" max="10" width="12.5" style="9" bestFit="1" customWidth="1"/>
    <col min="11" max="11" width="17.625" style="9" bestFit="1" customWidth="1"/>
    <col min="12" max="12" width="43.75" style="9" bestFit="1" customWidth="1"/>
    <col min="13" max="13" width="8" style="9" bestFit="1" customWidth="1"/>
    <col min="14" max="14" width="9" style="9"/>
    <col min="15" max="15" width="6.75" style="9" bestFit="1" customWidth="1"/>
    <col min="16" max="16" width="4.75" style="9" bestFit="1" customWidth="1"/>
    <col min="17" max="17" width="8.5" style="9" bestFit="1" customWidth="1"/>
    <col min="18" max="18" width="6.125" style="9" bestFit="1" customWidth="1"/>
    <col min="19" max="19" width="178.25" style="9" bestFit="1" customWidth="1"/>
    <col min="20" max="16384" width="9" style="9"/>
  </cols>
  <sheetData>
    <row r="1" spans="1:19" x14ac:dyDescent="0.4">
      <c r="A1" s="8" t="s">
        <v>39</v>
      </c>
    </row>
    <row r="3" spans="1:19" x14ac:dyDescent="0.4">
      <c r="A3" s="9" t="s">
        <v>40</v>
      </c>
      <c r="B3" s="9" t="s">
        <v>44</v>
      </c>
      <c r="C3" s="9" t="s">
        <v>260</v>
      </c>
      <c r="D3" s="9" t="s">
        <v>284</v>
      </c>
      <c r="E3" s="9" t="s">
        <v>41</v>
      </c>
      <c r="G3" s="9" t="s">
        <v>40</v>
      </c>
      <c r="H3" s="9" t="s">
        <v>44</v>
      </c>
      <c r="I3" s="9" t="s">
        <v>41</v>
      </c>
      <c r="J3" s="9" t="s">
        <v>260</v>
      </c>
      <c r="K3" s="9" t="s">
        <v>262</v>
      </c>
      <c r="L3" s="9" t="s">
        <v>261</v>
      </c>
      <c r="M3" s="9" t="s">
        <v>285</v>
      </c>
      <c r="O3" s="9" t="s">
        <v>42</v>
      </c>
      <c r="P3" s="9" t="s">
        <v>41</v>
      </c>
      <c r="Q3" s="9" t="s">
        <v>282</v>
      </c>
      <c r="R3" s="9" t="s">
        <v>283</v>
      </c>
      <c r="S3" s="9" t="s">
        <v>43</v>
      </c>
    </row>
    <row r="4" spans="1:19" ht="24" x14ac:dyDescent="0.4">
      <c r="A4" s="9" t="s">
        <v>45</v>
      </c>
      <c r="B4" s="9" t="s">
        <v>119</v>
      </c>
      <c r="C4" s="9">
        <v>34</v>
      </c>
      <c r="D4" s="9">
        <v>0</v>
      </c>
      <c r="E4" s="9">
        <v>606</v>
      </c>
      <c r="G4" s="9" t="s">
        <v>45</v>
      </c>
      <c r="H4" s="9" t="s">
        <v>119</v>
      </c>
      <c r="I4" s="9">
        <v>4</v>
      </c>
      <c r="J4" s="9" t="s">
        <v>48</v>
      </c>
      <c r="K4" s="9" t="s">
        <v>46</v>
      </c>
      <c r="L4" s="9" t="s">
        <v>49</v>
      </c>
      <c r="M4" s="9" t="s">
        <v>50</v>
      </c>
      <c r="O4" s="9">
        <v>4</v>
      </c>
      <c r="P4" s="9">
        <v>1</v>
      </c>
      <c r="Q4" s="9" t="b">
        <v>0</v>
      </c>
      <c r="R4" s="9" t="b">
        <v>0</v>
      </c>
      <c r="S4" s="9" t="s">
        <v>47</v>
      </c>
    </row>
    <row r="5" spans="1:19" ht="36" x14ac:dyDescent="0.4">
      <c r="A5" s="9" t="s">
        <v>120</v>
      </c>
      <c r="B5" s="9" t="s">
        <v>119</v>
      </c>
      <c r="C5" s="9">
        <v>50</v>
      </c>
      <c r="D5" s="9">
        <v>0</v>
      </c>
      <c r="E5" s="9">
        <v>697</v>
      </c>
      <c r="G5" s="9" t="s">
        <v>45</v>
      </c>
      <c r="H5" s="9" t="s">
        <v>119</v>
      </c>
      <c r="I5" s="9">
        <v>11</v>
      </c>
      <c r="J5" s="9" t="s">
        <v>48</v>
      </c>
      <c r="K5" s="9" t="s">
        <v>51</v>
      </c>
      <c r="L5" s="9" t="s">
        <v>417</v>
      </c>
      <c r="O5" s="9">
        <v>8</v>
      </c>
      <c r="P5" s="9">
        <v>1</v>
      </c>
      <c r="Q5" s="9" t="b">
        <v>0</v>
      </c>
      <c r="R5" s="9" t="b">
        <v>0</v>
      </c>
      <c r="S5" s="9" t="s">
        <v>418</v>
      </c>
    </row>
    <row r="6" spans="1:19" ht="48" x14ac:dyDescent="0.4">
      <c r="A6" s="9" t="s">
        <v>123</v>
      </c>
      <c r="B6" s="9" t="s">
        <v>119</v>
      </c>
      <c r="C6" s="9">
        <v>8</v>
      </c>
      <c r="D6" s="9">
        <v>0</v>
      </c>
      <c r="E6" s="9">
        <v>117</v>
      </c>
      <c r="G6" s="9" t="s">
        <v>45</v>
      </c>
      <c r="H6" s="9" t="s">
        <v>119</v>
      </c>
      <c r="I6" s="9">
        <v>10</v>
      </c>
      <c r="J6" s="9" t="s">
        <v>53</v>
      </c>
      <c r="K6" s="9" t="s">
        <v>52</v>
      </c>
      <c r="L6" s="9" t="s">
        <v>419</v>
      </c>
      <c r="O6" s="9">
        <v>19</v>
      </c>
      <c r="P6" s="9">
        <v>1</v>
      </c>
      <c r="Q6" s="9" t="b">
        <v>0</v>
      </c>
      <c r="R6" s="9" t="b">
        <v>0</v>
      </c>
      <c r="S6" s="9" t="s">
        <v>420</v>
      </c>
    </row>
    <row r="7" spans="1:19" ht="36" x14ac:dyDescent="0.4">
      <c r="A7" s="9" t="s">
        <v>318</v>
      </c>
      <c r="B7" s="9" t="s">
        <v>119</v>
      </c>
      <c r="C7" s="9">
        <v>6</v>
      </c>
      <c r="D7" s="9">
        <v>0</v>
      </c>
      <c r="E7" s="9">
        <v>109</v>
      </c>
      <c r="G7" s="9" t="s">
        <v>45</v>
      </c>
      <c r="H7" s="9" t="s">
        <v>119</v>
      </c>
      <c r="I7" s="9">
        <v>11</v>
      </c>
      <c r="J7" s="9" t="s">
        <v>48</v>
      </c>
      <c r="K7" s="9" t="s">
        <v>54</v>
      </c>
      <c r="L7" s="9" t="s">
        <v>321</v>
      </c>
      <c r="O7" s="9">
        <v>29</v>
      </c>
      <c r="P7" s="9">
        <v>1</v>
      </c>
      <c r="Q7" s="9" t="b">
        <v>0</v>
      </c>
      <c r="R7" s="9" t="b">
        <v>0</v>
      </c>
      <c r="S7" s="9" t="s">
        <v>322</v>
      </c>
    </row>
    <row r="8" spans="1:19" ht="48" x14ac:dyDescent="0.4">
      <c r="A8" s="9" t="s">
        <v>140</v>
      </c>
      <c r="B8" s="9" t="s">
        <v>119</v>
      </c>
      <c r="C8" s="9">
        <v>17</v>
      </c>
      <c r="D8" s="9">
        <v>0</v>
      </c>
      <c r="E8" s="9">
        <v>260</v>
      </c>
      <c r="G8" s="9" t="s">
        <v>45</v>
      </c>
      <c r="H8" s="9" t="s">
        <v>119</v>
      </c>
      <c r="I8" s="9">
        <v>10</v>
      </c>
      <c r="J8" s="9" t="s">
        <v>53</v>
      </c>
      <c r="K8" s="9" t="s">
        <v>55</v>
      </c>
      <c r="L8" s="9" t="s">
        <v>323</v>
      </c>
      <c r="O8" s="9">
        <v>40</v>
      </c>
      <c r="P8" s="9">
        <v>1</v>
      </c>
      <c r="Q8" s="9" t="b">
        <v>0</v>
      </c>
      <c r="R8" s="9" t="b">
        <v>0</v>
      </c>
      <c r="S8" s="9" t="s">
        <v>324</v>
      </c>
    </row>
    <row r="9" spans="1:19" x14ac:dyDescent="0.4">
      <c r="A9" s="9" t="s">
        <v>185</v>
      </c>
      <c r="B9" s="9" t="s">
        <v>119</v>
      </c>
      <c r="C9" s="9">
        <v>7</v>
      </c>
      <c r="D9" s="9">
        <v>0</v>
      </c>
      <c r="E9" s="9">
        <v>131</v>
      </c>
      <c r="G9" s="9" t="s">
        <v>45</v>
      </c>
      <c r="H9" s="9" t="s">
        <v>119</v>
      </c>
      <c r="I9" s="9">
        <v>13</v>
      </c>
      <c r="J9" s="9" t="s">
        <v>80</v>
      </c>
      <c r="K9" s="9" t="s">
        <v>78</v>
      </c>
      <c r="L9" s="9" t="s">
        <v>81</v>
      </c>
      <c r="M9" s="9" t="s">
        <v>50</v>
      </c>
      <c r="O9" s="9">
        <v>50</v>
      </c>
      <c r="P9" s="9">
        <v>1</v>
      </c>
      <c r="Q9" s="9" t="b">
        <v>0</v>
      </c>
      <c r="R9" s="9" t="b">
        <v>0</v>
      </c>
      <c r="S9" s="9" t="s">
        <v>79</v>
      </c>
    </row>
    <row r="10" spans="1:19" ht="24" x14ac:dyDescent="0.4">
      <c r="A10" s="9" t="s">
        <v>195</v>
      </c>
      <c r="B10" s="9" t="s">
        <v>119</v>
      </c>
      <c r="C10" s="9">
        <v>5</v>
      </c>
      <c r="D10" s="9">
        <v>0</v>
      </c>
      <c r="E10" s="9">
        <v>83</v>
      </c>
      <c r="G10" s="9" t="s">
        <v>45</v>
      </c>
      <c r="H10" s="9" t="s">
        <v>119</v>
      </c>
      <c r="I10" s="9">
        <v>19</v>
      </c>
      <c r="J10" s="9" t="s">
        <v>48</v>
      </c>
      <c r="K10" s="9" t="s">
        <v>82</v>
      </c>
      <c r="L10" s="9" t="s">
        <v>84</v>
      </c>
      <c r="O10" s="9">
        <v>63</v>
      </c>
      <c r="P10" s="9">
        <v>1</v>
      </c>
      <c r="Q10" s="9" t="b">
        <v>0</v>
      </c>
      <c r="R10" s="9" t="b">
        <v>0</v>
      </c>
      <c r="S10" s="9" t="s">
        <v>83</v>
      </c>
    </row>
    <row r="11" spans="1:19" x14ac:dyDescent="0.4">
      <c r="A11" s="9" t="s">
        <v>298</v>
      </c>
      <c r="B11" s="9" t="s">
        <v>119</v>
      </c>
      <c r="C11" s="9">
        <v>6</v>
      </c>
      <c r="D11" s="9">
        <v>0</v>
      </c>
      <c r="E11" s="9">
        <v>54</v>
      </c>
      <c r="G11" s="9" t="s">
        <v>45</v>
      </c>
      <c r="H11" s="9" t="s">
        <v>119</v>
      </c>
      <c r="I11" s="9">
        <v>12</v>
      </c>
      <c r="J11" s="9" t="s">
        <v>48</v>
      </c>
      <c r="K11" s="9" t="s">
        <v>85</v>
      </c>
      <c r="L11" s="9" t="s">
        <v>65</v>
      </c>
      <c r="M11" s="9" t="s">
        <v>50</v>
      </c>
      <c r="O11" s="9">
        <v>82</v>
      </c>
      <c r="P11" s="9">
        <v>1</v>
      </c>
      <c r="Q11" s="9" t="b">
        <v>0</v>
      </c>
      <c r="R11" s="9" t="b">
        <v>0</v>
      </c>
      <c r="S11" s="9" t="s">
        <v>355</v>
      </c>
    </row>
    <row r="12" spans="1:19" x14ac:dyDescent="0.4">
      <c r="A12" s="9" t="s">
        <v>315</v>
      </c>
      <c r="B12" s="9" t="s">
        <v>119</v>
      </c>
      <c r="C12" s="9">
        <v>6</v>
      </c>
      <c r="D12" s="9">
        <v>0</v>
      </c>
      <c r="E12" s="9">
        <v>76</v>
      </c>
      <c r="G12" s="9" t="s">
        <v>45</v>
      </c>
      <c r="H12" s="9" t="s">
        <v>119</v>
      </c>
      <c r="I12" s="9">
        <v>28</v>
      </c>
      <c r="J12" s="9" t="s">
        <v>48</v>
      </c>
      <c r="K12" s="9" t="s">
        <v>56</v>
      </c>
      <c r="L12" s="9" t="s">
        <v>58</v>
      </c>
      <c r="O12" s="9">
        <v>94</v>
      </c>
      <c r="P12" s="9">
        <v>1</v>
      </c>
      <c r="Q12" s="9" t="b">
        <v>0</v>
      </c>
      <c r="R12" s="9" t="b">
        <v>0</v>
      </c>
      <c r="S12" s="9" t="s">
        <v>57</v>
      </c>
    </row>
    <row r="13" spans="1:19" ht="24" x14ac:dyDescent="0.4">
      <c r="A13" s="9" t="s">
        <v>210</v>
      </c>
      <c r="B13" s="9" t="s">
        <v>119</v>
      </c>
      <c r="C13" s="9">
        <v>16</v>
      </c>
      <c r="D13" s="9">
        <v>0</v>
      </c>
      <c r="E13" s="9">
        <v>305</v>
      </c>
      <c r="G13" s="9" t="s">
        <v>45</v>
      </c>
      <c r="H13" s="9" t="s">
        <v>119</v>
      </c>
      <c r="I13" s="9">
        <v>9</v>
      </c>
      <c r="J13" s="9" t="s">
        <v>48</v>
      </c>
      <c r="K13" s="9" t="s">
        <v>59</v>
      </c>
      <c r="L13" s="9" t="s">
        <v>325</v>
      </c>
      <c r="O13" s="9">
        <v>122</v>
      </c>
      <c r="P13" s="9">
        <v>1</v>
      </c>
      <c r="Q13" s="9" t="b">
        <v>0</v>
      </c>
      <c r="R13" s="9" t="b">
        <v>0</v>
      </c>
      <c r="S13" s="9" t="s">
        <v>326</v>
      </c>
    </row>
    <row r="14" spans="1:19" ht="36" x14ac:dyDescent="0.4">
      <c r="A14" s="9" t="s">
        <v>229</v>
      </c>
      <c r="B14" s="9" t="s">
        <v>119</v>
      </c>
      <c r="C14" s="9">
        <v>21</v>
      </c>
      <c r="D14" s="9">
        <v>0</v>
      </c>
      <c r="E14" s="9">
        <v>294</v>
      </c>
      <c r="G14" s="9" t="s">
        <v>45</v>
      </c>
      <c r="H14" s="9" t="s">
        <v>119</v>
      </c>
      <c r="I14" s="9">
        <v>8</v>
      </c>
      <c r="J14" s="9" t="s">
        <v>48</v>
      </c>
      <c r="K14" s="9" t="s">
        <v>60</v>
      </c>
      <c r="L14" s="9" t="s">
        <v>327</v>
      </c>
      <c r="O14" s="9">
        <v>131</v>
      </c>
      <c r="P14" s="9">
        <v>1</v>
      </c>
      <c r="Q14" s="9" t="b">
        <v>0</v>
      </c>
      <c r="R14" s="9" t="b">
        <v>0</v>
      </c>
      <c r="S14" s="9" t="s">
        <v>328</v>
      </c>
    </row>
    <row r="15" spans="1:19" ht="24" x14ac:dyDescent="0.4">
      <c r="G15" s="9" t="s">
        <v>45</v>
      </c>
      <c r="H15" s="9" t="s">
        <v>119</v>
      </c>
      <c r="I15" s="9">
        <v>25</v>
      </c>
      <c r="J15" s="9" t="s">
        <v>48</v>
      </c>
      <c r="K15" s="9" t="s">
        <v>61</v>
      </c>
      <c r="L15" s="9" t="s">
        <v>329</v>
      </c>
      <c r="O15" s="9">
        <v>139</v>
      </c>
      <c r="P15" s="9">
        <v>1</v>
      </c>
      <c r="Q15" s="9" t="b">
        <v>0</v>
      </c>
      <c r="R15" s="9" t="b">
        <v>0</v>
      </c>
      <c r="S15" s="9" t="s">
        <v>330</v>
      </c>
    </row>
    <row r="16" spans="1:19" ht="24" x14ac:dyDescent="0.4">
      <c r="G16" s="9" t="s">
        <v>45</v>
      </c>
      <c r="H16" s="9" t="s">
        <v>119</v>
      </c>
      <c r="I16" s="9">
        <v>26</v>
      </c>
      <c r="J16" s="9" t="s">
        <v>48</v>
      </c>
      <c r="K16" s="9" t="s">
        <v>62</v>
      </c>
      <c r="L16" s="9" t="s">
        <v>329</v>
      </c>
      <c r="O16" s="9">
        <v>164</v>
      </c>
      <c r="P16" s="9">
        <v>1</v>
      </c>
      <c r="Q16" s="9" t="b">
        <v>0</v>
      </c>
      <c r="R16" s="9" t="b">
        <v>0</v>
      </c>
      <c r="S16" s="9" t="s">
        <v>331</v>
      </c>
    </row>
    <row r="17" spans="7:19" x14ac:dyDescent="0.4">
      <c r="G17" s="9" t="s">
        <v>45</v>
      </c>
      <c r="H17" s="9" t="s">
        <v>119</v>
      </c>
      <c r="I17" s="9">
        <v>11</v>
      </c>
      <c r="J17" s="9" t="s">
        <v>48</v>
      </c>
      <c r="K17" s="9" t="s">
        <v>63</v>
      </c>
      <c r="L17" s="9" t="s">
        <v>65</v>
      </c>
      <c r="O17" s="9">
        <v>190</v>
      </c>
      <c r="P17" s="9">
        <v>1</v>
      </c>
      <c r="Q17" s="9" t="b">
        <v>0</v>
      </c>
      <c r="R17" s="9" t="b">
        <v>0</v>
      </c>
      <c r="S17" s="9" t="s">
        <v>64</v>
      </c>
    </row>
    <row r="18" spans="7:19" x14ac:dyDescent="0.4">
      <c r="G18" s="9" t="s">
        <v>45</v>
      </c>
      <c r="H18" s="9" t="s">
        <v>119</v>
      </c>
      <c r="I18" s="9">
        <v>7</v>
      </c>
      <c r="J18" s="9" t="s">
        <v>48</v>
      </c>
      <c r="K18" s="9" t="s">
        <v>66</v>
      </c>
      <c r="L18" s="9" t="s">
        <v>58</v>
      </c>
      <c r="O18" s="9">
        <v>201</v>
      </c>
      <c r="P18" s="9">
        <v>1</v>
      </c>
      <c r="Q18" s="9" t="b">
        <v>0</v>
      </c>
      <c r="R18" s="9" t="b">
        <v>0</v>
      </c>
      <c r="S18" s="9" t="s">
        <v>67</v>
      </c>
    </row>
    <row r="19" spans="7:19" x14ac:dyDescent="0.4">
      <c r="G19" s="9" t="s">
        <v>45</v>
      </c>
      <c r="H19" s="9" t="s">
        <v>119</v>
      </c>
      <c r="I19" s="9">
        <v>17</v>
      </c>
      <c r="J19" s="9" t="s">
        <v>48</v>
      </c>
      <c r="K19" s="9" t="s">
        <v>68</v>
      </c>
      <c r="L19" s="9" t="s">
        <v>70</v>
      </c>
      <c r="O19" s="9">
        <v>208</v>
      </c>
      <c r="P19" s="9">
        <v>1</v>
      </c>
      <c r="Q19" s="9" t="b">
        <v>0</v>
      </c>
      <c r="R19" s="9" t="b">
        <v>0</v>
      </c>
      <c r="S19" s="9" t="s">
        <v>69</v>
      </c>
    </row>
    <row r="20" spans="7:19" x14ac:dyDescent="0.4">
      <c r="G20" s="9" t="s">
        <v>45</v>
      </c>
      <c r="H20" s="9" t="s">
        <v>119</v>
      </c>
      <c r="I20" s="9">
        <v>10</v>
      </c>
      <c r="J20" s="9" t="s">
        <v>48</v>
      </c>
      <c r="K20" s="9" t="s">
        <v>71</v>
      </c>
      <c r="L20" s="9" t="s">
        <v>73</v>
      </c>
      <c r="O20" s="9">
        <v>225</v>
      </c>
      <c r="P20" s="9">
        <v>1</v>
      </c>
      <c r="Q20" s="9" t="b">
        <v>0</v>
      </c>
      <c r="R20" s="9" t="b">
        <v>0</v>
      </c>
      <c r="S20" s="9" t="s">
        <v>72</v>
      </c>
    </row>
    <row r="21" spans="7:19" ht="24" x14ac:dyDescent="0.4">
      <c r="G21" s="9" t="s">
        <v>45</v>
      </c>
      <c r="H21" s="9" t="s">
        <v>119</v>
      </c>
      <c r="I21" s="9">
        <v>12</v>
      </c>
      <c r="J21" s="9" t="s">
        <v>48</v>
      </c>
      <c r="K21" s="9" t="s">
        <v>74</v>
      </c>
      <c r="L21" s="9" t="s">
        <v>76</v>
      </c>
      <c r="M21" s="9" t="s">
        <v>77</v>
      </c>
      <c r="O21" s="9">
        <v>235</v>
      </c>
      <c r="P21" s="9">
        <v>1</v>
      </c>
      <c r="Q21" s="9" t="b">
        <v>0</v>
      </c>
      <c r="R21" s="9" t="b">
        <v>0</v>
      </c>
      <c r="S21" s="9" t="s">
        <v>75</v>
      </c>
    </row>
    <row r="22" spans="7:19" ht="36" x14ac:dyDescent="0.4">
      <c r="G22" s="9" t="s">
        <v>45</v>
      </c>
      <c r="H22" s="9" t="s">
        <v>119</v>
      </c>
      <c r="I22" s="9">
        <v>18</v>
      </c>
      <c r="J22" s="9" t="s">
        <v>48</v>
      </c>
      <c r="K22" s="9" t="s">
        <v>86</v>
      </c>
      <c r="L22" s="9" t="s">
        <v>360</v>
      </c>
      <c r="O22" s="9">
        <v>247</v>
      </c>
      <c r="P22" s="9">
        <v>1</v>
      </c>
      <c r="Q22" s="9" t="b">
        <v>0</v>
      </c>
      <c r="R22" s="9" t="b">
        <v>0</v>
      </c>
      <c r="S22" s="9" t="s">
        <v>361</v>
      </c>
    </row>
    <row r="23" spans="7:19" ht="24" x14ac:dyDescent="0.4">
      <c r="G23" s="9" t="s">
        <v>45</v>
      </c>
      <c r="H23" s="9" t="s">
        <v>119</v>
      </c>
      <c r="I23" s="9">
        <v>70</v>
      </c>
      <c r="J23" s="9" t="s">
        <v>48</v>
      </c>
      <c r="K23" s="9" t="s">
        <v>87</v>
      </c>
      <c r="L23" s="9" t="s">
        <v>421</v>
      </c>
      <c r="O23" s="9">
        <v>265</v>
      </c>
      <c r="P23" s="9">
        <v>1</v>
      </c>
      <c r="Q23" s="9" t="b">
        <v>0</v>
      </c>
      <c r="R23" s="9" t="b">
        <v>0</v>
      </c>
      <c r="S23" s="9" t="s">
        <v>422</v>
      </c>
    </row>
    <row r="24" spans="7:19" ht="36" x14ac:dyDescent="0.4">
      <c r="G24" s="9" t="s">
        <v>45</v>
      </c>
      <c r="H24" s="9" t="s">
        <v>119</v>
      </c>
      <c r="I24" s="9">
        <v>67</v>
      </c>
      <c r="J24" s="9" t="s">
        <v>53</v>
      </c>
      <c r="K24" s="9" t="s">
        <v>88</v>
      </c>
      <c r="L24" s="9" t="s">
        <v>90</v>
      </c>
      <c r="O24" s="9">
        <v>335</v>
      </c>
      <c r="P24" s="9">
        <v>1</v>
      </c>
      <c r="Q24" s="9" t="b">
        <v>0</v>
      </c>
      <c r="R24" s="9" t="b">
        <v>0</v>
      </c>
      <c r="S24" s="9" t="s">
        <v>89</v>
      </c>
    </row>
    <row r="25" spans="7:19" ht="24" x14ac:dyDescent="0.4">
      <c r="G25" s="9" t="s">
        <v>45</v>
      </c>
      <c r="H25" s="9" t="s">
        <v>119</v>
      </c>
      <c r="I25" s="9">
        <v>12</v>
      </c>
      <c r="J25" s="9" t="s">
        <v>53</v>
      </c>
      <c r="K25" s="9" t="s">
        <v>91</v>
      </c>
      <c r="L25" s="9" t="s">
        <v>93</v>
      </c>
      <c r="O25" s="9">
        <v>402</v>
      </c>
      <c r="P25" s="9">
        <v>1</v>
      </c>
      <c r="Q25" s="9" t="b">
        <v>0</v>
      </c>
      <c r="R25" s="9" t="b">
        <v>0</v>
      </c>
      <c r="S25" s="9" t="s">
        <v>92</v>
      </c>
    </row>
    <row r="26" spans="7:19" ht="24" x14ac:dyDescent="0.4">
      <c r="G26" s="9" t="s">
        <v>45</v>
      </c>
      <c r="H26" s="9" t="s">
        <v>119</v>
      </c>
      <c r="I26" s="9">
        <v>14</v>
      </c>
      <c r="J26" s="9" t="s">
        <v>48</v>
      </c>
      <c r="K26" s="9" t="s">
        <v>94</v>
      </c>
      <c r="L26" s="9" t="s">
        <v>332</v>
      </c>
      <c r="O26" s="9">
        <v>414</v>
      </c>
      <c r="P26" s="9">
        <v>1</v>
      </c>
      <c r="Q26" s="9" t="b">
        <v>0</v>
      </c>
      <c r="R26" s="9" t="b">
        <v>0</v>
      </c>
      <c r="S26" s="9" t="s">
        <v>333</v>
      </c>
    </row>
    <row r="27" spans="7:19" ht="36" x14ac:dyDescent="0.4">
      <c r="G27" s="9" t="s">
        <v>45</v>
      </c>
      <c r="H27" s="9" t="s">
        <v>119</v>
      </c>
      <c r="I27" s="9">
        <v>7</v>
      </c>
      <c r="J27" s="9" t="s">
        <v>48</v>
      </c>
      <c r="K27" s="9" t="s">
        <v>95</v>
      </c>
      <c r="L27" s="9" t="s">
        <v>334</v>
      </c>
      <c r="O27" s="9">
        <v>428</v>
      </c>
      <c r="P27" s="9">
        <v>1</v>
      </c>
      <c r="Q27" s="9" t="b">
        <v>0</v>
      </c>
      <c r="R27" s="9" t="b">
        <v>0</v>
      </c>
      <c r="S27" s="9" t="s">
        <v>335</v>
      </c>
    </row>
    <row r="28" spans="7:19" ht="36" x14ac:dyDescent="0.4">
      <c r="G28" s="9" t="s">
        <v>45</v>
      </c>
      <c r="H28" s="9" t="s">
        <v>119</v>
      </c>
      <c r="I28" s="9">
        <v>15</v>
      </c>
      <c r="J28" s="9" t="s">
        <v>48</v>
      </c>
      <c r="K28" s="9" t="s">
        <v>0</v>
      </c>
      <c r="L28" s="9" t="s">
        <v>336</v>
      </c>
      <c r="O28" s="9">
        <v>435</v>
      </c>
      <c r="P28" s="9">
        <v>1</v>
      </c>
      <c r="Q28" s="9" t="b">
        <v>0</v>
      </c>
      <c r="R28" s="9" t="b">
        <v>0</v>
      </c>
      <c r="S28" s="9" t="s">
        <v>337</v>
      </c>
    </row>
    <row r="29" spans="7:19" ht="36" x14ac:dyDescent="0.4">
      <c r="G29" s="9" t="s">
        <v>45</v>
      </c>
      <c r="H29" s="9" t="s">
        <v>119</v>
      </c>
      <c r="I29" s="9">
        <v>10</v>
      </c>
      <c r="J29" s="9" t="s">
        <v>48</v>
      </c>
      <c r="K29" s="9" t="s">
        <v>96</v>
      </c>
      <c r="L29" s="9" t="s">
        <v>98</v>
      </c>
      <c r="O29" s="9">
        <v>450</v>
      </c>
      <c r="P29" s="9">
        <v>1</v>
      </c>
      <c r="Q29" s="9" t="b">
        <v>0</v>
      </c>
      <c r="R29" s="9" t="b">
        <v>0</v>
      </c>
      <c r="S29" s="9" t="s">
        <v>97</v>
      </c>
    </row>
    <row r="30" spans="7:19" ht="48" x14ac:dyDescent="0.4">
      <c r="G30" s="9" t="s">
        <v>45</v>
      </c>
      <c r="H30" s="9" t="s">
        <v>119</v>
      </c>
      <c r="I30" s="9">
        <v>22</v>
      </c>
      <c r="J30" s="9" t="s">
        <v>48</v>
      </c>
      <c r="K30" s="9" t="s">
        <v>99</v>
      </c>
      <c r="L30" s="9" t="s">
        <v>362</v>
      </c>
      <c r="O30" s="9">
        <v>460</v>
      </c>
      <c r="P30" s="9">
        <v>1</v>
      </c>
      <c r="Q30" s="9" t="b">
        <v>0</v>
      </c>
      <c r="R30" s="9" t="b">
        <v>0</v>
      </c>
      <c r="S30" s="9" t="s">
        <v>363</v>
      </c>
    </row>
    <row r="31" spans="7:19" ht="24" x14ac:dyDescent="0.4">
      <c r="G31" s="9" t="s">
        <v>45</v>
      </c>
      <c r="H31" s="9" t="s">
        <v>119</v>
      </c>
      <c r="I31" s="9">
        <v>63</v>
      </c>
      <c r="J31" s="9" t="s">
        <v>48</v>
      </c>
      <c r="K31" s="9" t="s">
        <v>100</v>
      </c>
      <c r="L31" s="9" t="s">
        <v>338</v>
      </c>
      <c r="O31" s="9">
        <v>482</v>
      </c>
      <c r="P31" s="9">
        <v>1</v>
      </c>
      <c r="Q31" s="9" t="b">
        <v>0</v>
      </c>
      <c r="R31" s="9" t="b">
        <v>0</v>
      </c>
      <c r="S31" s="9" t="s">
        <v>339</v>
      </c>
    </row>
    <row r="32" spans="7:19" x14ac:dyDescent="0.4">
      <c r="G32" s="9" t="s">
        <v>45</v>
      </c>
      <c r="H32" s="9" t="s">
        <v>119</v>
      </c>
      <c r="I32" s="9">
        <v>7</v>
      </c>
      <c r="J32" s="9" t="s">
        <v>48</v>
      </c>
      <c r="K32" s="9" t="s">
        <v>101</v>
      </c>
      <c r="L32" s="9" t="s">
        <v>103</v>
      </c>
      <c r="O32" s="9">
        <v>545</v>
      </c>
      <c r="P32" s="9">
        <v>1</v>
      </c>
      <c r="Q32" s="9" t="b">
        <v>0</v>
      </c>
      <c r="R32" s="9" t="b">
        <v>0</v>
      </c>
      <c r="S32" s="9" t="s">
        <v>102</v>
      </c>
    </row>
    <row r="33" spans="7:19" ht="36" x14ac:dyDescent="0.4">
      <c r="G33" s="9" t="s">
        <v>45</v>
      </c>
      <c r="H33" s="9" t="s">
        <v>119</v>
      </c>
      <c r="I33" s="9">
        <v>15</v>
      </c>
      <c r="J33" s="9" t="s">
        <v>53</v>
      </c>
      <c r="K33" s="9" t="s">
        <v>104</v>
      </c>
      <c r="L33" s="9" t="s">
        <v>340</v>
      </c>
      <c r="O33" s="9">
        <v>552</v>
      </c>
      <c r="P33" s="9">
        <v>1</v>
      </c>
      <c r="Q33" s="9" t="b">
        <v>0</v>
      </c>
      <c r="R33" s="9" t="b">
        <v>0</v>
      </c>
      <c r="S33" s="9" t="s">
        <v>341</v>
      </c>
    </row>
    <row r="34" spans="7:19" ht="36" x14ac:dyDescent="0.4">
      <c r="G34" s="9" t="s">
        <v>45</v>
      </c>
      <c r="H34" s="9" t="s">
        <v>119</v>
      </c>
      <c r="I34" s="9">
        <v>15</v>
      </c>
      <c r="J34" s="9" t="s">
        <v>48</v>
      </c>
      <c r="K34" s="9" t="s">
        <v>319</v>
      </c>
      <c r="L34" s="9" t="s">
        <v>342</v>
      </c>
      <c r="O34" s="9">
        <v>567</v>
      </c>
      <c r="P34" s="9">
        <v>1</v>
      </c>
      <c r="Q34" s="9" t="b">
        <v>0</v>
      </c>
      <c r="R34" s="9" t="b">
        <v>0</v>
      </c>
      <c r="S34" s="9" t="s">
        <v>343</v>
      </c>
    </row>
    <row r="35" spans="7:19" ht="48" x14ac:dyDescent="0.4">
      <c r="G35" s="9" t="s">
        <v>45</v>
      </c>
      <c r="H35" s="9" t="s">
        <v>119</v>
      </c>
      <c r="I35" s="9">
        <v>6</v>
      </c>
      <c r="J35" s="9" t="s">
        <v>48</v>
      </c>
      <c r="K35" s="9" t="s">
        <v>118</v>
      </c>
      <c r="L35" s="9" t="s">
        <v>344</v>
      </c>
      <c r="O35" s="9">
        <v>582</v>
      </c>
      <c r="P35" s="9">
        <v>1</v>
      </c>
      <c r="Q35" s="9" t="b">
        <v>0</v>
      </c>
      <c r="R35" s="9" t="b">
        <v>0</v>
      </c>
      <c r="S35" s="9" t="s">
        <v>345</v>
      </c>
    </row>
    <row r="36" spans="7:19" x14ac:dyDescent="0.4">
      <c r="G36" s="9" t="s">
        <v>45</v>
      </c>
      <c r="H36" s="9" t="s">
        <v>119</v>
      </c>
      <c r="I36" s="9">
        <v>12</v>
      </c>
      <c r="J36" s="9" t="s">
        <v>48</v>
      </c>
      <c r="K36" s="9" t="s">
        <v>296</v>
      </c>
      <c r="L36" s="9" t="s">
        <v>65</v>
      </c>
      <c r="O36" s="9">
        <v>588</v>
      </c>
      <c r="P36" s="9">
        <v>1</v>
      </c>
      <c r="Q36" s="9" t="b">
        <v>0</v>
      </c>
      <c r="R36" s="9" t="b">
        <v>0</v>
      </c>
      <c r="S36" s="9" t="s">
        <v>297</v>
      </c>
    </row>
    <row r="37" spans="7:19" ht="24" x14ac:dyDescent="0.4">
      <c r="G37" s="9" t="s">
        <v>45</v>
      </c>
      <c r="H37" s="9" t="s">
        <v>119</v>
      </c>
      <c r="I37" s="9">
        <v>8</v>
      </c>
      <c r="J37" s="9" t="s">
        <v>53</v>
      </c>
      <c r="K37" s="9" t="s">
        <v>423</v>
      </c>
      <c r="L37" s="9" t="s">
        <v>424</v>
      </c>
      <c r="O37" s="9">
        <v>600</v>
      </c>
      <c r="P37" s="9">
        <v>1</v>
      </c>
      <c r="Q37" s="9" t="b">
        <v>0</v>
      </c>
      <c r="R37" s="9" t="b">
        <v>0</v>
      </c>
      <c r="S37" s="9" t="s">
        <v>425</v>
      </c>
    </row>
    <row r="38" spans="7:19" x14ac:dyDescent="0.4">
      <c r="G38" s="9" t="s">
        <v>120</v>
      </c>
      <c r="H38" s="9" t="s">
        <v>119</v>
      </c>
      <c r="I38" s="9">
        <v>11</v>
      </c>
      <c r="J38" s="9" t="s">
        <v>53</v>
      </c>
      <c r="K38" s="9" t="s">
        <v>426</v>
      </c>
      <c r="O38" s="9">
        <v>1</v>
      </c>
      <c r="P38" s="9">
        <v>1</v>
      </c>
      <c r="Q38" s="9" t="b">
        <v>0</v>
      </c>
      <c r="R38" s="9" t="b">
        <v>0</v>
      </c>
      <c r="S38" s="9" t="s">
        <v>427</v>
      </c>
    </row>
    <row r="39" spans="7:19" ht="36" x14ac:dyDescent="0.4">
      <c r="G39" s="9" t="s">
        <v>120</v>
      </c>
      <c r="H39" s="9" t="s">
        <v>119</v>
      </c>
      <c r="I39" s="9">
        <v>2</v>
      </c>
      <c r="J39" s="9" t="s">
        <v>48</v>
      </c>
      <c r="K39" s="9" t="s">
        <v>211</v>
      </c>
      <c r="L39" s="9" t="s">
        <v>213</v>
      </c>
      <c r="O39" s="9">
        <v>13</v>
      </c>
      <c r="P39" s="9">
        <v>1</v>
      </c>
      <c r="Q39" s="9" t="b">
        <v>0</v>
      </c>
      <c r="R39" s="9" t="b">
        <v>1</v>
      </c>
      <c r="S39" s="9" t="s">
        <v>212</v>
      </c>
    </row>
    <row r="40" spans="7:19" x14ac:dyDescent="0.4">
      <c r="G40" s="9" t="s">
        <v>120</v>
      </c>
      <c r="H40" s="9" t="s">
        <v>119</v>
      </c>
      <c r="I40" s="9">
        <v>5</v>
      </c>
      <c r="J40" s="9" t="s">
        <v>53</v>
      </c>
      <c r="K40" s="9" t="s">
        <v>428</v>
      </c>
      <c r="O40" s="9">
        <v>15</v>
      </c>
      <c r="P40" s="9">
        <v>1</v>
      </c>
      <c r="Q40" s="9" t="b">
        <v>1</v>
      </c>
      <c r="R40" s="9" t="b">
        <v>0</v>
      </c>
      <c r="S40" s="9" t="s">
        <v>429</v>
      </c>
    </row>
    <row r="41" spans="7:19" x14ac:dyDescent="0.4">
      <c r="G41" s="9" t="s">
        <v>120</v>
      </c>
      <c r="H41" s="9" t="s">
        <v>119</v>
      </c>
      <c r="I41" s="9">
        <v>5</v>
      </c>
      <c r="J41" s="9" t="s">
        <v>53</v>
      </c>
      <c r="K41" s="9" t="s">
        <v>430</v>
      </c>
      <c r="O41" s="9">
        <v>20</v>
      </c>
      <c r="P41" s="9">
        <v>1</v>
      </c>
      <c r="Q41" s="9" t="b">
        <v>0</v>
      </c>
      <c r="R41" s="9" t="b">
        <v>0</v>
      </c>
      <c r="S41" s="9" t="s">
        <v>431</v>
      </c>
    </row>
    <row r="42" spans="7:19" x14ac:dyDescent="0.4">
      <c r="G42" s="9" t="s">
        <v>120</v>
      </c>
      <c r="H42" s="9" t="s">
        <v>119</v>
      </c>
      <c r="I42" s="9">
        <v>15</v>
      </c>
      <c r="J42" s="9" t="s">
        <v>53</v>
      </c>
      <c r="K42" s="9" t="s">
        <v>432</v>
      </c>
      <c r="O42" s="9">
        <v>25</v>
      </c>
      <c r="P42" s="9">
        <v>1</v>
      </c>
      <c r="Q42" s="9" t="b">
        <v>0</v>
      </c>
      <c r="R42" s="9" t="b">
        <v>0</v>
      </c>
      <c r="S42" s="9" t="s">
        <v>433</v>
      </c>
    </row>
    <row r="43" spans="7:19" x14ac:dyDescent="0.4">
      <c r="G43" s="9" t="s">
        <v>120</v>
      </c>
      <c r="H43" s="9" t="s">
        <v>119</v>
      </c>
      <c r="I43" s="9">
        <v>9</v>
      </c>
      <c r="J43" s="9" t="s">
        <v>53</v>
      </c>
      <c r="K43" s="9" t="s">
        <v>434</v>
      </c>
      <c r="O43" s="9">
        <v>40</v>
      </c>
      <c r="P43" s="9">
        <v>1</v>
      </c>
      <c r="Q43" s="9" t="b">
        <v>0</v>
      </c>
      <c r="R43" s="9" t="b">
        <v>0</v>
      </c>
      <c r="S43" s="9" t="s">
        <v>435</v>
      </c>
    </row>
    <row r="44" spans="7:19" x14ac:dyDescent="0.4">
      <c r="G44" s="9" t="s">
        <v>120</v>
      </c>
      <c r="H44" s="9" t="s">
        <v>119</v>
      </c>
      <c r="I44" s="9">
        <v>17</v>
      </c>
      <c r="J44" s="9" t="s">
        <v>53</v>
      </c>
      <c r="K44" s="9" t="s">
        <v>436</v>
      </c>
      <c r="O44" s="9">
        <v>49</v>
      </c>
      <c r="P44" s="9">
        <v>1</v>
      </c>
      <c r="Q44" s="9" t="b">
        <v>0</v>
      </c>
      <c r="R44" s="9" t="b">
        <v>0</v>
      </c>
      <c r="S44" s="9" t="s">
        <v>437</v>
      </c>
    </row>
    <row r="45" spans="7:19" x14ac:dyDescent="0.4">
      <c r="G45" s="9" t="s">
        <v>120</v>
      </c>
      <c r="H45" s="9" t="s">
        <v>119</v>
      </c>
      <c r="I45" s="9">
        <v>24</v>
      </c>
      <c r="J45" s="9" t="s">
        <v>53</v>
      </c>
      <c r="K45" s="9" t="s">
        <v>438</v>
      </c>
      <c r="O45" s="9">
        <v>66</v>
      </c>
      <c r="P45" s="9">
        <v>1</v>
      </c>
      <c r="Q45" s="9" t="b">
        <v>0</v>
      </c>
      <c r="R45" s="9" t="b">
        <v>0</v>
      </c>
      <c r="S45" s="9" t="s">
        <v>439</v>
      </c>
    </row>
    <row r="46" spans="7:19" x14ac:dyDescent="0.4">
      <c r="G46" s="9" t="s">
        <v>120</v>
      </c>
      <c r="H46" s="9" t="s">
        <v>119</v>
      </c>
      <c r="I46" s="9">
        <v>20</v>
      </c>
      <c r="J46" s="9" t="s">
        <v>53</v>
      </c>
      <c r="K46" s="9" t="s">
        <v>440</v>
      </c>
      <c r="O46" s="9">
        <v>90</v>
      </c>
      <c r="P46" s="9">
        <v>1</v>
      </c>
      <c r="Q46" s="9" t="b">
        <v>0</v>
      </c>
      <c r="R46" s="9" t="b">
        <v>0</v>
      </c>
      <c r="S46" s="9" t="s">
        <v>441</v>
      </c>
    </row>
    <row r="47" spans="7:19" x14ac:dyDescent="0.4">
      <c r="G47" s="9" t="s">
        <v>120</v>
      </c>
      <c r="H47" s="9" t="s">
        <v>119</v>
      </c>
      <c r="I47" s="9">
        <v>8</v>
      </c>
      <c r="J47" s="9" t="s">
        <v>53</v>
      </c>
      <c r="K47" s="9" t="s">
        <v>442</v>
      </c>
      <c r="O47" s="9">
        <v>110</v>
      </c>
      <c r="P47" s="9">
        <v>1</v>
      </c>
      <c r="Q47" s="9" t="b">
        <v>0</v>
      </c>
      <c r="R47" s="9" t="b">
        <v>0</v>
      </c>
      <c r="S47" s="9" t="s">
        <v>443</v>
      </c>
    </row>
    <row r="48" spans="7:19" x14ac:dyDescent="0.4">
      <c r="G48" s="9" t="s">
        <v>120</v>
      </c>
      <c r="H48" s="9" t="s">
        <v>119</v>
      </c>
      <c r="I48" s="9">
        <v>14</v>
      </c>
      <c r="J48" s="9" t="s">
        <v>53</v>
      </c>
      <c r="K48" s="9" t="s">
        <v>444</v>
      </c>
      <c r="O48" s="9">
        <v>118</v>
      </c>
      <c r="P48" s="9">
        <v>1</v>
      </c>
      <c r="Q48" s="9" t="b">
        <v>0</v>
      </c>
      <c r="R48" s="9" t="b">
        <v>0</v>
      </c>
      <c r="S48" s="9" t="s">
        <v>445</v>
      </c>
    </row>
    <row r="49" spans="7:19" x14ac:dyDescent="0.4">
      <c r="G49" s="9" t="s">
        <v>120</v>
      </c>
      <c r="H49" s="9" t="s">
        <v>119</v>
      </c>
      <c r="I49" s="9">
        <v>6</v>
      </c>
      <c r="J49" s="9" t="s">
        <v>53</v>
      </c>
      <c r="K49" s="9" t="s">
        <v>446</v>
      </c>
      <c r="O49" s="9">
        <v>132</v>
      </c>
      <c r="P49" s="9">
        <v>1</v>
      </c>
      <c r="Q49" s="9" t="b">
        <v>0</v>
      </c>
      <c r="R49" s="9" t="b">
        <v>0</v>
      </c>
      <c r="S49" s="9" t="s">
        <v>447</v>
      </c>
    </row>
    <row r="50" spans="7:19" x14ac:dyDescent="0.4">
      <c r="G50" s="9" t="s">
        <v>120</v>
      </c>
      <c r="H50" s="9" t="s">
        <v>119</v>
      </c>
      <c r="I50" s="9">
        <v>25</v>
      </c>
      <c r="J50" s="9" t="s">
        <v>53</v>
      </c>
      <c r="K50" s="9" t="s">
        <v>448</v>
      </c>
      <c r="O50" s="9">
        <v>138</v>
      </c>
      <c r="P50" s="9">
        <v>1</v>
      </c>
      <c r="Q50" s="9" t="b">
        <v>0</v>
      </c>
      <c r="R50" s="9" t="b">
        <v>0</v>
      </c>
      <c r="S50" s="9" t="s">
        <v>449</v>
      </c>
    </row>
    <row r="51" spans="7:19" x14ac:dyDescent="0.4">
      <c r="G51" s="9" t="s">
        <v>120</v>
      </c>
      <c r="H51" s="9" t="s">
        <v>119</v>
      </c>
      <c r="I51" s="9">
        <v>26</v>
      </c>
      <c r="J51" s="9" t="s">
        <v>53</v>
      </c>
      <c r="K51" s="9" t="s">
        <v>450</v>
      </c>
      <c r="O51" s="9">
        <v>163</v>
      </c>
      <c r="P51" s="9">
        <v>1</v>
      </c>
      <c r="Q51" s="9" t="b">
        <v>0</v>
      </c>
      <c r="R51" s="9" t="b">
        <v>0</v>
      </c>
      <c r="S51" s="9" t="s">
        <v>451</v>
      </c>
    </row>
    <row r="52" spans="7:19" x14ac:dyDescent="0.4">
      <c r="G52" s="9" t="s">
        <v>120</v>
      </c>
      <c r="H52" s="9" t="s">
        <v>119</v>
      </c>
      <c r="I52" s="9">
        <v>25</v>
      </c>
      <c r="J52" s="9" t="s">
        <v>53</v>
      </c>
      <c r="K52" s="9" t="s">
        <v>452</v>
      </c>
      <c r="O52" s="9">
        <v>189</v>
      </c>
      <c r="P52" s="9">
        <v>1</v>
      </c>
      <c r="Q52" s="9" t="b">
        <v>0</v>
      </c>
      <c r="R52" s="9" t="b">
        <v>0</v>
      </c>
      <c r="S52" s="9" t="s">
        <v>453</v>
      </c>
    </row>
    <row r="53" spans="7:19" x14ac:dyDescent="0.4">
      <c r="G53" s="9" t="s">
        <v>120</v>
      </c>
      <c r="H53" s="9" t="s">
        <v>119</v>
      </c>
      <c r="I53" s="9">
        <v>32</v>
      </c>
      <c r="J53" s="9" t="s">
        <v>53</v>
      </c>
      <c r="K53" s="9" t="s">
        <v>454</v>
      </c>
      <c r="O53" s="9">
        <v>214</v>
      </c>
      <c r="P53" s="9">
        <v>1</v>
      </c>
      <c r="Q53" s="9" t="b">
        <v>0</v>
      </c>
      <c r="R53" s="9" t="b">
        <v>0</v>
      </c>
      <c r="S53" s="9" t="s">
        <v>455</v>
      </c>
    </row>
    <row r="54" spans="7:19" x14ac:dyDescent="0.4">
      <c r="G54" s="9" t="s">
        <v>120</v>
      </c>
      <c r="H54" s="9" t="s">
        <v>119</v>
      </c>
      <c r="I54" s="9">
        <v>6</v>
      </c>
      <c r="J54" s="9" t="s">
        <v>53</v>
      </c>
      <c r="K54" s="9" t="s">
        <v>456</v>
      </c>
      <c r="O54" s="9">
        <v>246</v>
      </c>
      <c r="P54" s="9">
        <v>1</v>
      </c>
      <c r="Q54" s="9" t="b">
        <v>0</v>
      </c>
      <c r="R54" s="9" t="b">
        <v>0</v>
      </c>
      <c r="S54" s="9" t="s">
        <v>457</v>
      </c>
    </row>
    <row r="55" spans="7:19" x14ac:dyDescent="0.4">
      <c r="G55" s="9" t="s">
        <v>120</v>
      </c>
      <c r="H55" s="9" t="s">
        <v>119</v>
      </c>
      <c r="I55" s="9">
        <v>34</v>
      </c>
      <c r="J55" s="9" t="s">
        <v>53</v>
      </c>
      <c r="K55" s="9" t="s">
        <v>458</v>
      </c>
      <c r="O55" s="9">
        <v>252</v>
      </c>
      <c r="P55" s="9">
        <v>1</v>
      </c>
      <c r="Q55" s="9" t="b">
        <v>0</v>
      </c>
      <c r="R55" s="9" t="b">
        <v>0</v>
      </c>
      <c r="S55" s="9" t="s">
        <v>459</v>
      </c>
    </row>
    <row r="56" spans="7:19" x14ac:dyDescent="0.4">
      <c r="G56" s="9" t="s">
        <v>120</v>
      </c>
      <c r="H56" s="9" t="s">
        <v>119</v>
      </c>
      <c r="I56" s="9">
        <v>12</v>
      </c>
      <c r="J56" s="9" t="s">
        <v>53</v>
      </c>
      <c r="K56" s="9" t="s">
        <v>460</v>
      </c>
      <c r="O56" s="9">
        <v>286</v>
      </c>
      <c r="P56" s="9">
        <v>1</v>
      </c>
      <c r="Q56" s="9" t="b">
        <v>0</v>
      </c>
      <c r="R56" s="9" t="b">
        <v>0</v>
      </c>
      <c r="S56" s="9" t="s">
        <v>461</v>
      </c>
    </row>
    <row r="57" spans="7:19" x14ac:dyDescent="0.4">
      <c r="G57" s="9" t="s">
        <v>120</v>
      </c>
      <c r="H57" s="9" t="s">
        <v>119</v>
      </c>
      <c r="I57" s="9">
        <v>7</v>
      </c>
      <c r="J57" s="9" t="s">
        <v>53</v>
      </c>
      <c r="K57" s="9" t="s">
        <v>462</v>
      </c>
      <c r="O57" s="9">
        <v>298</v>
      </c>
      <c r="P57" s="9">
        <v>1</v>
      </c>
      <c r="Q57" s="9" t="b">
        <v>0</v>
      </c>
      <c r="R57" s="9" t="b">
        <v>0</v>
      </c>
      <c r="S57" s="9" t="s">
        <v>463</v>
      </c>
    </row>
    <row r="58" spans="7:19" x14ac:dyDescent="0.4">
      <c r="G58" s="9" t="s">
        <v>120</v>
      </c>
      <c r="H58" s="9" t="s">
        <v>119</v>
      </c>
      <c r="I58" s="9">
        <v>7</v>
      </c>
      <c r="J58" s="9" t="s">
        <v>53</v>
      </c>
      <c r="K58" s="9" t="s">
        <v>464</v>
      </c>
      <c r="O58" s="9">
        <v>305</v>
      </c>
      <c r="P58" s="9">
        <v>1</v>
      </c>
      <c r="Q58" s="9" t="b">
        <v>0</v>
      </c>
      <c r="R58" s="9" t="b">
        <v>0</v>
      </c>
      <c r="S58" s="9" t="s">
        <v>465</v>
      </c>
    </row>
    <row r="59" spans="7:19" x14ac:dyDescent="0.4">
      <c r="G59" s="9" t="s">
        <v>120</v>
      </c>
      <c r="H59" s="9" t="s">
        <v>119</v>
      </c>
      <c r="I59" s="9">
        <v>7</v>
      </c>
      <c r="J59" s="9" t="s">
        <v>53</v>
      </c>
      <c r="K59" s="9" t="s">
        <v>466</v>
      </c>
      <c r="O59" s="9">
        <v>312</v>
      </c>
      <c r="P59" s="9">
        <v>1</v>
      </c>
      <c r="Q59" s="9" t="b">
        <v>0</v>
      </c>
      <c r="R59" s="9" t="b">
        <v>0</v>
      </c>
      <c r="S59" s="9" t="s">
        <v>467</v>
      </c>
    </row>
    <row r="60" spans="7:19" x14ac:dyDescent="0.4">
      <c r="G60" s="9" t="s">
        <v>120</v>
      </c>
      <c r="H60" s="9" t="s">
        <v>119</v>
      </c>
      <c r="I60" s="9">
        <v>6</v>
      </c>
      <c r="J60" s="9" t="s">
        <v>53</v>
      </c>
      <c r="K60" s="9" t="s">
        <v>468</v>
      </c>
      <c r="O60" s="9">
        <v>319</v>
      </c>
      <c r="P60" s="9">
        <v>1</v>
      </c>
      <c r="Q60" s="9" t="b">
        <v>0</v>
      </c>
      <c r="R60" s="9" t="b">
        <v>0</v>
      </c>
      <c r="S60" s="9" t="s">
        <v>469</v>
      </c>
    </row>
    <row r="61" spans="7:19" x14ac:dyDescent="0.4">
      <c r="G61" s="9" t="s">
        <v>120</v>
      </c>
      <c r="H61" s="9" t="s">
        <v>119</v>
      </c>
      <c r="I61" s="9">
        <v>15</v>
      </c>
      <c r="J61" s="9" t="s">
        <v>53</v>
      </c>
      <c r="K61" s="9" t="s">
        <v>470</v>
      </c>
      <c r="O61" s="9">
        <v>325</v>
      </c>
      <c r="P61" s="9">
        <v>1</v>
      </c>
      <c r="Q61" s="9" t="b">
        <v>0</v>
      </c>
      <c r="R61" s="9" t="b">
        <v>0</v>
      </c>
      <c r="S61" s="9" t="s">
        <v>471</v>
      </c>
    </row>
    <row r="62" spans="7:19" x14ac:dyDescent="0.4">
      <c r="G62" s="9" t="s">
        <v>120</v>
      </c>
      <c r="H62" s="9" t="s">
        <v>119</v>
      </c>
      <c r="I62" s="9">
        <v>17</v>
      </c>
      <c r="J62" s="9" t="s">
        <v>53</v>
      </c>
      <c r="K62" s="9" t="s">
        <v>472</v>
      </c>
      <c r="O62" s="9">
        <v>340</v>
      </c>
      <c r="P62" s="9">
        <v>1</v>
      </c>
      <c r="Q62" s="9" t="b">
        <v>0</v>
      </c>
      <c r="R62" s="9" t="b">
        <v>0</v>
      </c>
      <c r="S62" s="9" t="s">
        <v>473</v>
      </c>
    </row>
    <row r="63" spans="7:19" x14ac:dyDescent="0.4">
      <c r="G63" s="9" t="s">
        <v>120</v>
      </c>
      <c r="H63" s="9" t="s">
        <v>119</v>
      </c>
      <c r="I63" s="9">
        <v>17</v>
      </c>
      <c r="J63" s="9" t="s">
        <v>53</v>
      </c>
      <c r="K63" s="9" t="s">
        <v>474</v>
      </c>
      <c r="O63" s="9">
        <v>357</v>
      </c>
      <c r="P63" s="9">
        <v>1</v>
      </c>
      <c r="Q63" s="9" t="b">
        <v>0</v>
      </c>
      <c r="R63" s="9" t="b">
        <v>0</v>
      </c>
      <c r="S63" s="9" t="s">
        <v>475</v>
      </c>
    </row>
    <row r="64" spans="7:19" x14ac:dyDescent="0.4">
      <c r="G64" s="9" t="s">
        <v>120</v>
      </c>
      <c r="H64" s="9" t="s">
        <v>119</v>
      </c>
      <c r="I64" s="9">
        <v>9</v>
      </c>
      <c r="J64" s="9" t="s">
        <v>53</v>
      </c>
      <c r="K64" s="9" t="s">
        <v>476</v>
      </c>
      <c r="O64" s="9">
        <v>374</v>
      </c>
      <c r="P64" s="9">
        <v>1</v>
      </c>
      <c r="Q64" s="9" t="b">
        <v>0</v>
      </c>
      <c r="R64" s="9" t="b">
        <v>0</v>
      </c>
      <c r="S64" s="9" t="s">
        <v>477</v>
      </c>
    </row>
    <row r="65" spans="7:19" x14ac:dyDescent="0.4">
      <c r="G65" s="9" t="s">
        <v>120</v>
      </c>
      <c r="H65" s="9" t="s">
        <v>119</v>
      </c>
      <c r="I65" s="9">
        <v>13</v>
      </c>
      <c r="J65" s="9" t="s">
        <v>53</v>
      </c>
      <c r="K65" s="9" t="s">
        <v>478</v>
      </c>
      <c r="O65" s="9">
        <v>383</v>
      </c>
      <c r="P65" s="9">
        <v>1</v>
      </c>
      <c r="Q65" s="9" t="b">
        <v>0</v>
      </c>
      <c r="R65" s="9" t="b">
        <v>0</v>
      </c>
      <c r="S65" s="9" t="s">
        <v>479</v>
      </c>
    </row>
    <row r="66" spans="7:19" x14ac:dyDescent="0.4">
      <c r="G66" s="9" t="s">
        <v>120</v>
      </c>
      <c r="H66" s="9" t="s">
        <v>119</v>
      </c>
      <c r="I66" s="9">
        <v>19</v>
      </c>
      <c r="J66" s="9" t="s">
        <v>53</v>
      </c>
      <c r="K66" s="9" t="s">
        <v>480</v>
      </c>
      <c r="O66" s="9">
        <v>396</v>
      </c>
      <c r="P66" s="9">
        <v>1</v>
      </c>
      <c r="Q66" s="9" t="b">
        <v>0</v>
      </c>
      <c r="R66" s="9" t="b">
        <v>0</v>
      </c>
      <c r="S66" s="9" t="s">
        <v>481</v>
      </c>
    </row>
    <row r="67" spans="7:19" x14ac:dyDescent="0.4">
      <c r="G67" s="9" t="s">
        <v>120</v>
      </c>
      <c r="H67" s="9" t="s">
        <v>119</v>
      </c>
      <c r="I67" s="9">
        <v>17</v>
      </c>
      <c r="J67" s="9" t="s">
        <v>53</v>
      </c>
      <c r="K67" s="9" t="s">
        <v>482</v>
      </c>
      <c r="O67" s="9">
        <v>415</v>
      </c>
      <c r="P67" s="9">
        <v>1</v>
      </c>
      <c r="Q67" s="9" t="b">
        <v>0</v>
      </c>
      <c r="R67" s="9" t="b">
        <v>0</v>
      </c>
      <c r="S67" s="9" t="s">
        <v>483</v>
      </c>
    </row>
    <row r="68" spans="7:19" x14ac:dyDescent="0.4">
      <c r="G68" s="9" t="s">
        <v>120</v>
      </c>
      <c r="H68" s="9" t="s">
        <v>119</v>
      </c>
      <c r="I68" s="9">
        <v>19</v>
      </c>
      <c r="J68" s="9" t="s">
        <v>53</v>
      </c>
      <c r="K68" s="9" t="s">
        <v>484</v>
      </c>
      <c r="O68" s="9">
        <v>432</v>
      </c>
      <c r="P68" s="9">
        <v>1</v>
      </c>
      <c r="Q68" s="9" t="b">
        <v>0</v>
      </c>
      <c r="R68" s="9" t="b">
        <v>0</v>
      </c>
      <c r="S68" s="9" t="s">
        <v>485</v>
      </c>
    </row>
    <row r="69" spans="7:19" x14ac:dyDescent="0.4">
      <c r="G69" s="9" t="s">
        <v>120</v>
      </c>
      <c r="H69" s="9" t="s">
        <v>119</v>
      </c>
      <c r="I69" s="9">
        <v>21</v>
      </c>
      <c r="J69" s="9" t="s">
        <v>53</v>
      </c>
      <c r="K69" s="9" t="s">
        <v>486</v>
      </c>
      <c r="O69" s="9">
        <v>451</v>
      </c>
      <c r="P69" s="9">
        <v>1</v>
      </c>
      <c r="Q69" s="9" t="b">
        <v>0</v>
      </c>
      <c r="R69" s="9" t="b">
        <v>0</v>
      </c>
      <c r="S69" s="9" t="s">
        <v>487</v>
      </c>
    </row>
    <row r="70" spans="7:19" x14ac:dyDescent="0.4">
      <c r="G70" s="9" t="s">
        <v>120</v>
      </c>
      <c r="H70" s="9" t="s">
        <v>119</v>
      </c>
      <c r="I70" s="9">
        <v>15</v>
      </c>
      <c r="J70" s="9" t="s">
        <v>53</v>
      </c>
      <c r="K70" s="9" t="s">
        <v>488</v>
      </c>
      <c r="O70" s="9">
        <v>472</v>
      </c>
      <c r="P70" s="9">
        <v>1</v>
      </c>
      <c r="Q70" s="9" t="b">
        <v>0</v>
      </c>
      <c r="R70" s="9" t="b">
        <v>0</v>
      </c>
      <c r="S70" s="9" t="s">
        <v>489</v>
      </c>
    </row>
    <row r="71" spans="7:19" x14ac:dyDescent="0.4">
      <c r="G71" s="9" t="s">
        <v>120</v>
      </c>
      <c r="H71" s="9" t="s">
        <v>119</v>
      </c>
      <c r="I71" s="9">
        <v>20</v>
      </c>
      <c r="J71" s="9" t="s">
        <v>53</v>
      </c>
      <c r="K71" s="9" t="s">
        <v>490</v>
      </c>
      <c r="O71" s="9">
        <v>487</v>
      </c>
      <c r="P71" s="9">
        <v>1</v>
      </c>
      <c r="Q71" s="9" t="b">
        <v>0</v>
      </c>
      <c r="R71" s="9" t="b">
        <v>0</v>
      </c>
      <c r="S71" s="9" t="s">
        <v>491</v>
      </c>
    </row>
    <row r="72" spans="7:19" x14ac:dyDescent="0.4">
      <c r="G72" s="9" t="s">
        <v>120</v>
      </c>
      <c r="H72" s="9" t="s">
        <v>119</v>
      </c>
      <c r="I72" s="9">
        <v>9</v>
      </c>
      <c r="J72" s="9" t="s">
        <v>53</v>
      </c>
      <c r="K72" s="9" t="s">
        <v>492</v>
      </c>
      <c r="O72" s="9">
        <v>507</v>
      </c>
      <c r="P72" s="9">
        <v>1</v>
      </c>
      <c r="Q72" s="9" t="b">
        <v>0</v>
      </c>
      <c r="R72" s="9" t="b">
        <v>0</v>
      </c>
      <c r="S72" s="9" t="s">
        <v>493</v>
      </c>
    </row>
    <row r="73" spans="7:19" x14ac:dyDescent="0.4">
      <c r="G73" s="9" t="s">
        <v>120</v>
      </c>
      <c r="H73" s="9" t="s">
        <v>119</v>
      </c>
      <c r="I73" s="9">
        <v>27</v>
      </c>
      <c r="J73" s="9" t="s">
        <v>53</v>
      </c>
      <c r="K73" s="9" t="s">
        <v>494</v>
      </c>
      <c r="O73" s="9">
        <v>516</v>
      </c>
      <c r="P73" s="9">
        <v>1</v>
      </c>
      <c r="Q73" s="9" t="b">
        <v>0</v>
      </c>
      <c r="R73" s="9" t="b">
        <v>0</v>
      </c>
      <c r="S73" s="9" t="s">
        <v>495</v>
      </c>
    </row>
    <row r="74" spans="7:19" x14ac:dyDescent="0.4">
      <c r="G74" s="9" t="s">
        <v>120</v>
      </c>
      <c r="H74" s="9" t="s">
        <v>119</v>
      </c>
      <c r="I74" s="9">
        <v>12</v>
      </c>
      <c r="J74" s="9" t="s">
        <v>53</v>
      </c>
      <c r="K74" s="9" t="s">
        <v>496</v>
      </c>
      <c r="O74" s="9">
        <v>543</v>
      </c>
      <c r="P74" s="9">
        <v>1</v>
      </c>
      <c r="Q74" s="9" t="b">
        <v>0</v>
      </c>
      <c r="R74" s="9" t="b">
        <v>0</v>
      </c>
      <c r="S74" s="9" t="s">
        <v>497</v>
      </c>
    </row>
    <row r="75" spans="7:19" x14ac:dyDescent="0.4">
      <c r="G75" s="9" t="s">
        <v>120</v>
      </c>
      <c r="H75" s="9" t="s">
        <v>119</v>
      </c>
      <c r="I75" s="9">
        <v>6</v>
      </c>
      <c r="J75" s="9" t="s">
        <v>53</v>
      </c>
      <c r="K75" s="9" t="s">
        <v>498</v>
      </c>
      <c r="O75" s="9">
        <v>555</v>
      </c>
      <c r="P75" s="9">
        <v>1</v>
      </c>
      <c r="Q75" s="9" t="b">
        <v>0</v>
      </c>
      <c r="R75" s="9" t="b">
        <v>0</v>
      </c>
      <c r="S75" s="9" t="s">
        <v>499</v>
      </c>
    </row>
    <row r="76" spans="7:19" x14ac:dyDescent="0.4">
      <c r="G76" s="9" t="s">
        <v>120</v>
      </c>
      <c r="H76" s="9" t="s">
        <v>119</v>
      </c>
      <c r="I76" s="9">
        <v>18</v>
      </c>
      <c r="J76" s="9" t="s">
        <v>53</v>
      </c>
      <c r="K76" s="9" t="s">
        <v>500</v>
      </c>
      <c r="O76" s="9">
        <v>561</v>
      </c>
      <c r="P76" s="9">
        <v>1</v>
      </c>
      <c r="Q76" s="9" t="b">
        <v>0</v>
      </c>
      <c r="R76" s="9" t="b">
        <v>0</v>
      </c>
      <c r="S76" s="9" t="s">
        <v>501</v>
      </c>
    </row>
    <row r="77" spans="7:19" ht="60" x14ac:dyDescent="0.4">
      <c r="G77" s="9" t="s">
        <v>120</v>
      </c>
      <c r="H77" s="9" t="s">
        <v>119</v>
      </c>
      <c r="I77" s="9">
        <v>7</v>
      </c>
      <c r="J77" s="9" t="s">
        <v>48</v>
      </c>
      <c r="K77" s="9" t="s">
        <v>214</v>
      </c>
      <c r="L77" s="9" t="s">
        <v>392</v>
      </c>
      <c r="O77" s="9">
        <v>579</v>
      </c>
      <c r="P77" s="9">
        <v>1</v>
      </c>
      <c r="Q77" s="9" t="b">
        <v>0</v>
      </c>
      <c r="R77" s="9" t="b">
        <v>0</v>
      </c>
      <c r="S77" s="9" t="s">
        <v>393</v>
      </c>
    </row>
    <row r="78" spans="7:19" ht="48" x14ac:dyDescent="0.4">
      <c r="G78" s="9" t="s">
        <v>120</v>
      </c>
      <c r="H78" s="9" t="s">
        <v>119</v>
      </c>
      <c r="I78" s="9">
        <v>5</v>
      </c>
      <c r="J78" s="9" t="s">
        <v>48</v>
      </c>
      <c r="K78" s="9" t="s">
        <v>215</v>
      </c>
      <c r="L78" s="9" t="s">
        <v>217</v>
      </c>
      <c r="M78" s="9" t="s">
        <v>218</v>
      </c>
      <c r="O78" s="9">
        <v>586</v>
      </c>
      <c r="P78" s="9">
        <v>1</v>
      </c>
      <c r="Q78" s="9" t="b">
        <v>0</v>
      </c>
      <c r="R78" s="9" t="b">
        <v>0</v>
      </c>
      <c r="S78" s="9" t="s">
        <v>216</v>
      </c>
    </row>
    <row r="79" spans="7:19" x14ac:dyDescent="0.4">
      <c r="G79" s="9" t="s">
        <v>120</v>
      </c>
      <c r="H79" s="9" t="s">
        <v>119</v>
      </c>
      <c r="I79" s="9">
        <v>16</v>
      </c>
      <c r="J79" s="9" t="s">
        <v>53</v>
      </c>
      <c r="K79" s="9" t="s">
        <v>502</v>
      </c>
      <c r="O79" s="9">
        <v>591</v>
      </c>
      <c r="P79" s="9">
        <v>1</v>
      </c>
      <c r="Q79" s="9" t="b">
        <v>0</v>
      </c>
      <c r="R79" s="9" t="b">
        <v>0</v>
      </c>
      <c r="S79" s="9" t="s">
        <v>503</v>
      </c>
    </row>
    <row r="80" spans="7:19" x14ac:dyDescent="0.4">
      <c r="G80" s="9" t="s">
        <v>120</v>
      </c>
      <c r="H80" s="9" t="s">
        <v>119</v>
      </c>
      <c r="I80" s="9">
        <v>8</v>
      </c>
      <c r="J80" s="9" t="s">
        <v>53</v>
      </c>
      <c r="K80" s="9" t="s">
        <v>504</v>
      </c>
      <c r="O80" s="9">
        <v>607</v>
      </c>
      <c r="P80" s="9">
        <v>1</v>
      </c>
      <c r="Q80" s="9" t="b">
        <v>0</v>
      </c>
      <c r="R80" s="9" t="b">
        <v>0</v>
      </c>
      <c r="S80" s="9" t="s">
        <v>505</v>
      </c>
    </row>
    <row r="81" spans="7:19" x14ac:dyDescent="0.4">
      <c r="G81" s="9" t="s">
        <v>120</v>
      </c>
      <c r="H81" s="9" t="s">
        <v>119</v>
      </c>
      <c r="I81" s="9">
        <v>13</v>
      </c>
      <c r="J81" s="9" t="s">
        <v>53</v>
      </c>
      <c r="K81" s="9" t="s">
        <v>506</v>
      </c>
      <c r="O81" s="9">
        <v>615</v>
      </c>
      <c r="P81" s="9">
        <v>1</v>
      </c>
      <c r="Q81" s="9" t="b">
        <v>0</v>
      </c>
      <c r="R81" s="9" t="b">
        <v>0</v>
      </c>
      <c r="S81" s="9" t="s">
        <v>507</v>
      </c>
    </row>
    <row r="82" spans="7:19" x14ac:dyDescent="0.4">
      <c r="G82" s="9" t="s">
        <v>120</v>
      </c>
      <c r="H82" s="9" t="s">
        <v>119</v>
      </c>
      <c r="I82" s="9">
        <v>13</v>
      </c>
      <c r="J82" s="9" t="s">
        <v>53</v>
      </c>
      <c r="K82" s="9" t="s">
        <v>508</v>
      </c>
      <c r="O82" s="9">
        <v>628</v>
      </c>
      <c r="P82" s="9">
        <v>1</v>
      </c>
      <c r="Q82" s="9" t="b">
        <v>0</v>
      </c>
      <c r="R82" s="9" t="b">
        <v>0</v>
      </c>
      <c r="S82" s="9" t="s">
        <v>509</v>
      </c>
    </row>
    <row r="83" spans="7:19" x14ac:dyDescent="0.4">
      <c r="G83" s="9" t="s">
        <v>120</v>
      </c>
      <c r="H83" s="9" t="s">
        <v>119</v>
      </c>
      <c r="I83" s="9">
        <v>20</v>
      </c>
      <c r="J83" s="9" t="s">
        <v>53</v>
      </c>
      <c r="K83" s="9" t="s">
        <v>510</v>
      </c>
      <c r="O83" s="9">
        <v>641</v>
      </c>
      <c r="P83" s="9">
        <v>1</v>
      </c>
      <c r="Q83" s="9" t="b">
        <v>0</v>
      </c>
      <c r="R83" s="9" t="b">
        <v>0</v>
      </c>
      <c r="S83" s="9" t="s">
        <v>511</v>
      </c>
    </row>
    <row r="84" spans="7:19" x14ac:dyDescent="0.4">
      <c r="G84" s="9" t="s">
        <v>120</v>
      </c>
      <c r="H84" s="9" t="s">
        <v>119</v>
      </c>
      <c r="I84" s="9">
        <v>10</v>
      </c>
      <c r="J84" s="9" t="s">
        <v>53</v>
      </c>
      <c r="K84" s="9" t="s">
        <v>512</v>
      </c>
      <c r="O84" s="9">
        <v>661</v>
      </c>
      <c r="P84" s="9">
        <v>1</v>
      </c>
      <c r="Q84" s="9" t="b">
        <v>0</v>
      </c>
      <c r="R84" s="9" t="b">
        <v>0</v>
      </c>
      <c r="S84" s="9" t="s">
        <v>513</v>
      </c>
    </row>
    <row r="85" spans="7:19" x14ac:dyDescent="0.4">
      <c r="G85" s="9" t="s">
        <v>120</v>
      </c>
      <c r="H85" s="9" t="s">
        <v>119</v>
      </c>
      <c r="I85" s="9">
        <v>14</v>
      </c>
      <c r="J85" s="9" t="s">
        <v>53</v>
      </c>
      <c r="K85" s="9" t="s">
        <v>514</v>
      </c>
      <c r="O85" s="9">
        <v>671</v>
      </c>
      <c r="P85" s="9">
        <v>1</v>
      </c>
      <c r="Q85" s="9" t="b">
        <v>0</v>
      </c>
      <c r="R85" s="9" t="b">
        <v>0</v>
      </c>
      <c r="S85" s="9" t="s">
        <v>515</v>
      </c>
    </row>
    <row r="86" spans="7:19" x14ac:dyDescent="0.4">
      <c r="G86" s="9" t="s">
        <v>120</v>
      </c>
      <c r="H86" s="9" t="s">
        <v>119</v>
      </c>
      <c r="I86" s="9">
        <v>8</v>
      </c>
      <c r="J86" s="9" t="s">
        <v>53</v>
      </c>
      <c r="K86" s="9" t="s">
        <v>516</v>
      </c>
      <c r="O86" s="9">
        <v>685</v>
      </c>
      <c r="P86" s="9">
        <v>1</v>
      </c>
      <c r="Q86" s="9" t="b">
        <v>0</v>
      </c>
      <c r="R86" s="9" t="b">
        <v>0</v>
      </c>
      <c r="S86" s="9" t="s">
        <v>517</v>
      </c>
    </row>
    <row r="87" spans="7:19" x14ac:dyDescent="0.4">
      <c r="G87" s="9" t="s">
        <v>120</v>
      </c>
      <c r="H87" s="9" t="s">
        <v>119</v>
      </c>
      <c r="I87" s="9">
        <v>6</v>
      </c>
      <c r="J87" s="9" t="s">
        <v>53</v>
      </c>
      <c r="K87" s="9" t="s">
        <v>518</v>
      </c>
      <c r="O87" s="9">
        <v>693</v>
      </c>
      <c r="P87" s="9">
        <v>1</v>
      </c>
      <c r="Q87" s="9" t="b">
        <v>0</v>
      </c>
      <c r="R87" s="9" t="b">
        <v>0</v>
      </c>
      <c r="S87" s="9" t="s">
        <v>519</v>
      </c>
    </row>
    <row r="88" spans="7:19" x14ac:dyDescent="0.4">
      <c r="G88" s="9" t="s">
        <v>123</v>
      </c>
      <c r="H88" s="9" t="s">
        <v>119</v>
      </c>
      <c r="I88" s="9">
        <v>14</v>
      </c>
      <c r="J88" s="9" t="s">
        <v>53</v>
      </c>
      <c r="K88" s="9" t="s">
        <v>124</v>
      </c>
      <c r="O88" s="9">
        <v>1</v>
      </c>
      <c r="P88" s="9">
        <v>1</v>
      </c>
      <c r="Q88" s="9" t="b">
        <v>0</v>
      </c>
      <c r="R88" s="9" t="b">
        <v>0</v>
      </c>
      <c r="S88" s="9" t="s">
        <v>125</v>
      </c>
    </row>
    <row r="89" spans="7:19" ht="24" x14ac:dyDescent="0.4">
      <c r="G89" s="9" t="s">
        <v>123</v>
      </c>
      <c r="H89" s="9" t="s">
        <v>119</v>
      </c>
      <c r="I89" s="9">
        <v>6</v>
      </c>
      <c r="J89" s="9" t="s">
        <v>48</v>
      </c>
      <c r="K89" s="9" t="s">
        <v>126</v>
      </c>
      <c r="L89" s="9" t="s">
        <v>128</v>
      </c>
      <c r="M89" s="9" t="s">
        <v>77</v>
      </c>
      <c r="O89" s="9">
        <v>16</v>
      </c>
      <c r="P89" s="9">
        <v>1</v>
      </c>
      <c r="Q89" s="9" t="b">
        <v>0</v>
      </c>
      <c r="R89" s="9" t="b">
        <v>0</v>
      </c>
      <c r="S89" s="9" t="s">
        <v>127</v>
      </c>
    </row>
    <row r="90" spans="7:19" ht="24" x14ac:dyDescent="0.4">
      <c r="G90" s="9" t="s">
        <v>123</v>
      </c>
      <c r="H90" s="9" t="s">
        <v>119</v>
      </c>
      <c r="I90" s="9">
        <v>6</v>
      </c>
      <c r="J90" s="9" t="s">
        <v>48</v>
      </c>
      <c r="K90" s="9" t="s">
        <v>129</v>
      </c>
      <c r="L90" s="9" t="s">
        <v>128</v>
      </c>
      <c r="M90" s="9" t="s">
        <v>77</v>
      </c>
      <c r="O90" s="9">
        <v>22</v>
      </c>
      <c r="P90" s="9">
        <v>1</v>
      </c>
      <c r="Q90" s="9" t="b">
        <v>0</v>
      </c>
      <c r="R90" s="9" t="b">
        <v>0</v>
      </c>
      <c r="S90" s="9" t="s">
        <v>130</v>
      </c>
    </row>
    <row r="91" spans="7:19" x14ac:dyDescent="0.4">
      <c r="G91" s="9" t="s">
        <v>123</v>
      </c>
      <c r="H91" s="9" t="s">
        <v>119</v>
      </c>
      <c r="I91" s="9">
        <v>6</v>
      </c>
      <c r="J91" s="9" t="s">
        <v>48</v>
      </c>
      <c r="K91" s="9" t="s">
        <v>131</v>
      </c>
      <c r="L91" s="9" t="s">
        <v>133</v>
      </c>
      <c r="M91" s="9" t="s">
        <v>77</v>
      </c>
      <c r="O91" s="9">
        <v>28</v>
      </c>
      <c r="P91" s="9">
        <v>1</v>
      </c>
      <c r="Q91" s="9" t="b">
        <v>0</v>
      </c>
      <c r="R91" s="9" t="b">
        <v>0</v>
      </c>
      <c r="S91" s="9" t="s">
        <v>132</v>
      </c>
    </row>
    <row r="92" spans="7:19" ht="24" x14ac:dyDescent="0.4">
      <c r="G92" s="9" t="s">
        <v>123</v>
      </c>
      <c r="H92" s="9" t="s">
        <v>119</v>
      </c>
      <c r="I92" s="9">
        <v>6</v>
      </c>
      <c r="J92" s="9" t="s">
        <v>48</v>
      </c>
      <c r="K92" s="9" t="s">
        <v>134</v>
      </c>
      <c r="L92" s="9" t="s">
        <v>128</v>
      </c>
      <c r="M92" s="9" t="s">
        <v>77</v>
      </c>
      <c r="O92" s="9">
        <v>34</v>
      </c>
      <c r="P92" s="9">
        <v>1</v>
      </c>
      <c r="Q92" s="9" t="b">
        <v>0</v>
      </c>
      <c r="R92" s="9" t="b">
        <v>0</v>
      </c>
      <c r="S92" s="9" t="s">
        <v>135</v>
      </c>
    </row>
    <row r="93" spans="7:19" ht="24" x14ac:dyDescent="0.4">
      <c r="G93" s="9" t="s">
        <v>123</v>
      </c>
      <c r="H93" s="9" t="s">
        <v>119</v>
      </c>
      <c r="I93" s="9">
        <v>32</v>
      </c>
      <c r="J93" s="9" t="s">
        <v>48</v>
      </c>
      <c r="K93" s="9" t="s">
        <v>136</v>
      </c>
      <c r="L93" s="9" t="s">
        <v>128</v>
      </c>
      <c r="M93" s="9" t="s">
        <v>77</v>
      </c>
      <c r="O93" s="9">
        <v>40</v>
      </c>
      <c r="P93" s="9">
        <v>1</v>
      </c>
      <c r="Q93" s="9" t="b">
        <v>0</v>
      </c>
      <c r="R93" s="9" t="b">
        <v>0</v>
      </c>
      <c r="S93" s="9" t="s">
        <v>137</v>
      </c>
    </row>
    <row r="94" spans="7:19" ht="24" x14ac:dyDescent="0.4">
      <c r="G94" s="9" t="s">
        <v>123</v>
      </c>
      <c r="H94" s="9" t="s">
        <v>119</v>
      </c>
      <c r="I94" s="9">
        <v>8</v>
      </c>
      <c r="J94" s="9" t="s">
        <v>48</v>
      </c>
      <c r="K94" s="9" t="s">
        <v>138</v>
      </c>
      <c r="L94" s="9" t="s">
        <v>128</v>
      </c>
      <c r="M94" s="9" t="s">
        <v>77</v>
      </c>
      <c r="O94" s="9">
        <v>72</v>
      </c>
      <c r="P94" s="9">
        <v>1</v>
      </c>
      <c r="Q94" s="9" t="b">
        <v>0</v>
      </c>
      <c r="R94" s="9" t="b">
        <v>0</v>
      </c>
      <c r="S94" s="9" t="s">
        <v>139</v>
      </c>
    </row>
    <row r="95" spans="7:19" ht="24" x14ac:dyDescent="0.4">
      <c r="G95" s="9" t="s">
        <v>123</v>
      </c>
      <c r="H95" s="9" t="s">
        <v>119</v>
      </c>
      <c r="I95" s="9">
        <v>39</v>
      </c>
      <c r="J95" s="9" t="s">
        <v>48</v>
      </c>
      <c r="K95" s="9" t="s">
        <v>520</v>
      </c>
      <c r="L95" s="9" t="s">
        <v>128</v>
      </c>
      <c r="O95" s="9">
        <v>80</v>
      </c>
      <c r="P95" s="9">
        <v>1</v>
      </c>
      <c r="Q95" s="9" t="b">
        <v>0</v>
      </c>
      <c r="R95" s="9" t="b">
        <v>0</v>
      </c>
      <c r="S95" s="9" t="s">
        <v>521</v>
      </c>
    </row>
    <row r="96" spans="7:19" ht="60" x14ac:dyDescent="0.4">
      <c r="G96" s="9" t="s">
        <v>318</v>
      </c>
      <c r="H96" s="9" t="s">
        <v>119</v>
      </c>
      <c r="I96" s="9">
        <v>54</v>
      </c>
      <c r="J96" s="9" t="s">
        <v>48</v>
      </c>
      <c r="K96" s="9" t="s">
        <v>222</v>
      </c>
      <c r="L96" s="9" t="s">
        <v>286</v>
      </c>
      <c r="O96" s="9">
        <v>14</v>
      </c>
      <c r="P96" s="9">
        <v>2</v>
      </c>
      <c r="Q96" s="9" t="b">
        <v>0</v>
      </c>
      <c r="R96" s="9" t="b">
        <v>0</v>
      </c>
      <c r="S96" s="9" t="s">
        <v>287</v>
      </c>
    </row>
    <row r="97" spans="7:19" ht="24" x14ac:dyDescent="0.4">
      <c r="G97" s="9" t="s">
        <v>318</v>
      </c>
      <c r="H97" s="9" t="s">
        <v>119</v>
      </c>
      <c r="I97" s="9">
        <v>15</v>
      </c>
      <c r="J97" s="9" t="s">
        <v>48</v>
      </c>
      <c r="K97" s="9" t="s">
        <v>223</v>
      </c>
      <c r="L97" s="9" t="s">
        <v>225</v>
      </c>
      <c r="M97" s="9" t="s">
        <v>226</v>
      </c>
      <c r="O97" s="9">
        <v>68</v>
      </c>
      <c r="P97" s="9">
        <v>1</v>
      </c>
      <c r="Q97" s="9" t="b">
        <v>0</v>
      </c>
      <c r="R97" s="9" t="b">
        <v>0</v>
      </c>
      <c r="S97" s="9" t="s">
        <v>224</v>
      </c>
    </row>
    <row r="98" spans="7:19" ht="36" x14ac:dyDescent="0.4">
      <c r="G98" s="9" t="s">
        <v>318</v>
      </c>
      <c r="H98" s="9" t="s">
        <v>119</v>
      </c>
      <c r="I98" s="9">
        <v>7</v>
      </c>
      <c r="J98" s="9" t="s">
        <v>48</v>
      </c>
      <c r="K98" s="9" t="s">
        <v>288</v>
      </c>
      <c r="L98" s="9" t="s">
        <v>289</v>
      </c>
      <c r="O98" s="9">
        <v>83</v>
      </c>
      <c r="P98" s="9">
        <v>1</v>
      </c>
      <c r="Q98" s="9" t="b">
        <v>0</v>
      </c>
      <c r="R98" s="9" t="b">
        <v>0</v>
      </c>
      <c r="S98" s="9" t="s">
        <v>290</v>
      </c>
    </row>
    <row r="99" spans="7:19" x14ac:dyDescent="0.4">
      <c r="G99" s="9" t="s">
        <v>318</v>
      </c>
      <c r="H99" s="9" t="s">
        <v>119</v>
      </c>
      <c r="I99" s="9">
        <v>6</v>
      </c>
      <c r="J99" s="9" t="s">
        <v>48</v>
      </c>
      <c r="K99" s="9" t="s">
        <v>291</v>
      </c>
      <c r="L99" s="9" t="s">
        <v>292</v>
      </c>
      <c r="O99" s="9">
        <v>90</v>
      </c>
      <c r="P99" s="9">
        <v>1</v>
      </c>
      <c r="Q99" s="9" t="b">
        <v>0</v>
      </c>
      <c r="R99" s="9" t="b">
        <v>0</v>
      </c>
      <c r="S99" s="9" t="s">
        <v>293</v>
      </c>
    </row>
    <row r="100" spans="7:19" x14ac:dyDescent="0.4">
      <c r="G100" s="9" t="s">
        <v>318</v>
      </c>
      <c r="H100" s="9" t="s">
        <v>119</v>
      </c>
      <c r="I100" s="9">
        <v>10</v>
      </c>
      <c r="J100" s="9" t="s">
        <v>53</v>
      </c>
      <c r="K100" s="9" t="s">
        <v>227</v>
      </c>
      <c r="O100" s="9">
        <v>96</v>
      </c>
      <c r="P100" s="9">
        <v>1</v>
      </c>
      <c r="Q100" s="9" t="b">
        <v>0</v>
      </c>
      <c r="R100" s="9" t="b">
        <v>0</v>
      </c>
      <c r="S100" s="9" t="s">
        <v>228</v>
      </c>
    </row>
    <row r="101" spans="7:19" x14ac:dyDescent="0.4">
      <c r="G101" s="9" t="s">
        <v>318</v>
      </c>
      <c r="H101" s="9" t="s">
        <v>119</v>
      </c>
      <c r="I101" s="9">
        <v>5</v>
      </c>
      <c r="J101" s="9" t="s">
        <v>53</v>
      </c>
      <c r="K101" s="9" t="s">
        <v>294</v>
      </c>
      <c r="O101" s="9">
        <v>106</v>
      </c>
      <c r="P101" s="9">
        <v>1</v>
      </c>
      <c r="Q101" s="9" t="b">
        <v>0</v>
      </c>
      <c r="R101" s="9" t="b">
        <v>0</v>
      </c>
      <c r="S101" s="9" t="s">
        <v>295</v>
      </c>
    </row>
    <row r="102" spans="7:19" x14ac:dyDescent="0.4">
      <c r="G102" s="9" t="s">
        <v>140</v>
      </c>
      <c r="H102" s="9" t="s">
        <v>119</v>
      </c>
      <c r="I102" s="9">
        <v>42</v>
      </c>
      <c r="J102" s="9" t="s">
        <v>80</v>
      </c>
      <c r="K102" s="9" t="s">
        <v>141</v>
      </c>
      <c r="L102" s="9" t="s">
        <v>143</v>
      </c>
      <c r="M102" s="9" t="s">
        <v>144</v>
      </c>
      <c r="O102" s="9">
        <v>6</v>
      </c>
      <c r="P102" s="9">
        <v>1</v>
      </c>
      <c r="Q102" s="9" t="b">
        <v>0</v>
      </c>
      <c r="R102" s="9" t="b">
        <v>0</v>
      </c>
      <c r="S102" s="9" t="s">
        <v>142</v>
      </c>
    </row>
    <row r="103" spans="7:19" ht="36" x14ac:dyDescent="0.4">
      <c r="G103" s="9" t="s">
        <v>140</v>
      </c>
      <c r="H103" s="9" t="s">
        <v>119</v>
      </c>
      <c r="I103" s="9">
        <v>15</v>
      </c>
      <c r="J103" s="9" t="s">
        <v>80</v>
      </c>
      <c r="K103" s="9" t="s">
        <v>145</v>
      </c>
      <c r="L103" s="9" t="s">
        <v>147</v>
      </c>
      <c r="M103" s="9" t="s">
        <v>144</v>
      </c>
      <c r="O103" s="9">
        <v>48</v>
      </c>
      <c r="P103" s="9">
        <v>1</v>
      </c>
      <c r="Q103" s="9" t="b">
        <v>0</v>
      </c>
      <c r="R103" s="9" t="b">
        <v>0</v>
      </c>
      <c r="S103" s="9" t="s">
        <v>146</v>
      </c>
    </row>
    <row r="104" spans="7:19" ht="36" x14ac:dyDescent="0.4">
      <c r="G104" s="9" t="s">
        <v>140</v>
      </c>
      <c r="H104" s="9" t="s">
        <v>119</v>
      </c>
      <c r="I104" s="9">
        <v>20</v>
      </c>
      <c r="J104" s="9" t="s">
        <v>80</v>
      </c>
      <c r="K104" s="9" t="s">
        <v>379</v>
      </c>
      <c r="L104" s="9" t="s">
        <v>148</v>
      </c>
      <c r="M104" s="9" t="s">
        <v>144</v>
      </c>
      <c r="O104" s="9">
        <v>63</v>
      </c>
      <c r="P104" s="9">
        <v>1</v>
      </c>
      <c r="Q104" s="9" t="b">
        <v>0</v>
      </c>
      <c r="R104" s="9" t="b">
        <v>0</v>
      </c>
      <c r="S104" s="9" t="s">
        <v>380</v>
      </c>
    </row>
    <row r="105" spans="7:19" ht="48" x14ac:dyDescent="0.4">
      <c r="G105" s="9" t="s">
        <v>140</v>
      </c>
      <c r="H105" s="9" t="s">
        <v>119</v>
      </c>
      <c r="I105" s="9">
        <v>22</v>
      </c>
      <c r="J105" s="9" t="s">
        <v>80</v>
      </c>
      <c r="K105" s="9" t="s">
        <v>149</v>
      </c>
      <c r="L105" s="9" t="s">
        <v>414</v>
      </c>
      <c r="M105" s="9" t="s">
        <v>144</v>
      </c>
      <c r="O105" s="9">
        <v>83</v>
      </c>
      <c r="P105" s="9">
        <v>1</v>
      </c>
      <c r="Q105" s="9" t="b">
        <v>0</v>
      </c>
      <c r="R105" s="9" t="b">
        <v>0</v>
      </c>
      <c r="S105" s="9" t="s">
        <v>415</v>
      </c>
    </row>
    <row r="106" spans="7:19" ht="48" x14ac:dyDescent="0.4">
      <c r="G106" s="9" t="s">
        <v>140</v>
      </c>
      <c r="H106" s="9" t="s">
        <v>119</v>
      </c>
      <c r="I106" s="9">
        <v>7</v>
      </c>
      <c r="J106" s="9" t="s">
        <v>80</v>
      </c>
      <c r="K106" s="9" t="s">
        <v>150</v>
      </c>
      <c r="L106" s="9" t="s">
        <v>152</v>
      </c>
      <c r="M106" s="9" t="s">
        <v>144</v>
      </c>
      <c r="O106" s="9">
        <v>105</v>
      </c>
      <c r="P106" s="9">
        <v>1</v>
      </c>
      <c r="Q106" s="9" t="b">
        <v>0</v>
      </c>
      <c r="R106" s="9" t="b">
        <v>0</v>
      </c>
      <c r="S106" s="9" t="s">
        <v>151</v>
      </c>
    </row>
    <row r="107" spans="7:19" ht="48" x14ac:dyDescent="0.4">
      <c r="G107" s="9" t="s">
        <v>140</v>
      </c>
      <c r="H107" s="9" t="s">
        <v>119</v>
      </c>
      <c r="I107" s="9">
        <v>14</v>
      </c>
      <c r="J107" s="9" t="s">
        <v>80</v>
      </c>
      <c r="K107" s="9" t="s">
        <v>153</v>
      </c>
      <c r="L107" s="9" t="s">
        <v>155</v>
      </c>
      <c r="M107" s="9" t="s">
        <v>144</v>
      </c>
      <c r="O107" s="9">
        <v>112</v>
      </c>
      <c r="P107" s="9">
        <v>1</v>
      </c>
      <c r="Q107" s="9" t="b">
        <v>0</v>
      </c>
      <c r="R107" s="9" t="b">
        <v>0</v>
      </c>
      <c r="S107" s="9" t="s">
        <v>154</v>
      </c>
    </row>
    <row r="108" spans="7:19" ht="36" x14ac:dyDescent="0.4">
      <c r="G108" s="9" t="s">
        <v>140</v>
      </c>
      <c r="H108" s="9" t="s">
        <v>119</v>
      </c>
      <c r="I108" s="9">
        <v>9</v>
      </c>
      <c r="J108" s="9" t="s">
        <v>80</v>
      </c>
      <c r="K108" s="9" t="s">
        <v>156</v>
      </c>
      <c r="L108" s="9" t="s">
        <v>147</v>
      </c>
      <c r="M108" s="9" t="s">
        <v>144</v>
      </c>
      <c r="O108" s="9">
        <v>126</v>
      </c>
      <c r="P108" s="9">
        <v>1</v>
      </c>
      <c r="Q108" s="9" t="b">
        <v>0</v>
      </c>
      <c r="R108" s="9" t="b">
        <v>0</v>
      </c>
      <c r="S108" s="9" t="s">
        <v>157</v>
      </c>
    </row>
    <row r="109" spans="7:19" ht="36" x14ac:dyDescent="0.4">
      <c r="G109" s="9" t="s">
        <v>140</v>
      </c>
      <c r="H109" s="9" t="s">
        <v>119</v>
      </c>
      <c r="I109" s="9">
        <v>9</v>
      </c>
      <c r="J109" s="9" t="s">
        <v>80</v>
      </c>
      <c r="K109" s="9" t="s">
        <v>158</v>
      </c>
      <c r="L109" s="9" t="s">
        <v>160</v>
      </c>
      <c r="M109" s="9" t="s">
        <v>144</v>
      </c>
      <c r="O109" s="9">
        <v>135</v>
      </c>
      <c r="P109" s="9">
        <v>1</v>
      </c>
      <c r="Q109" s="9" t="b">
        <v>0</v>
      </c>
      <c r="R109" s="9" t="b">
        <v>0</v>
      </c>
      <c r="S109" s="9" t="s">
        <v>159</v>
      </c>
    </row>
    <row r="110" spans="7:19" ht="24" x14ac:dyDescent="0.4">
      <c r="G110" s="9" t="s">
        <v>140</v>
      </c>
      <c r="H110" s="9" t="s">
        <v>119</v>
      </c>
      <c r="I110" s="9">
        <v>8</v>
      </c>
      <c r="J110" s="9" t="s">
        <v>80</v>
      </c>
      <c r="K110" s="9" t="s">
        <v>161</v>
      </c>
      <c r="L110" s="9" t="s">
        <v>163</v>
      </c>
      <c r="M110" s="9" t="s">
        <v>144</v>
      </c>
      <c r="O110" s="9">
        <v>144</v>
      </c>
      <c r="P110" s="9">
        <v>1</v>
      </c>
      <c r="Q110" s="9" t="b">
        <v>0</v>
      </c>
      <c r="R110" s="9" t="b">
        <v>0</v>
      </c>
      <c r="S110" s="9" t="s">
        <v>162</v>
      </c>
    </row>
    <row r="111" spans="7:19" ht="36" x14ac:dyDescent="0.4">
      <c r="G111" s="9" t="s">
        <v>140</v>
      </c>
      <c r="H111" s="9" t="s">
        <v>119</v>
      </c>
      <c r="I111" s="9">
        <v>17</v>
      </c>
      <c r="J111" s="9" t="s">
        <v>48</v>
      </c>
      <c r="K111" s="9" t="s">
        <v>164</v>
      </c>
      <c r="L111" s="9" t="s">
        <v>166</v>
      </c>
      <c r="O111" s="9">
        <v>152</v>
      </c>
      <c r="P111" s="9">
        <v>1</v>
      </c>
      <c r="Q111" s="9" t="b">
        <v>0</v>
      </c>
      <c r="R111" s="9" t="b">
        <v>0</v>
      </c>
      <c r="S111" s="9" t="s">
        <v>165</v>
      </c>
    </row>
    <row r="112" spans="7:19" ht="36" x14ac:dyDescent="0.4">
      <c r="G112" s="9" t="s">
        <v>140</v>
      </c>
      <c r="H112" s="9" t="s">
        <v>119</v>
      </c>
      <c r="I112" s="9">
        <v>9</v>
      </c>
      <c r="J112" s="9" t="s">
        <v>48</v>
      </c>
      <c r="K112" s="9" t="s">
        <v>167</v>
      </c>
      <c r="L112" s="9" t="s">
        <v>169</v>
      </c>
      <c r="O112" s="9">
        <v>169</v>
      </c>
      <c r="P112" s="9">
        <v>1</v>
      </c>
      <c r="Q112" s="9" t="b">
        <v>0</v>
      </c>
      <c r="R112" s="9" t="b">
        <v>0</v>
      </c>
      <c r="S112" s="9" t="s">
        <v>168</v>
      </c>
    </row>
    <row r="113" spans="7:19" x14ac:dyDescent="0.4">
      <c r="G113" s="9" t="s">
        <v>140</v>
      </c>
      <c r="H113" s="9" t="s">
        <v>119</v>
      </c>
      <c r="I113" s="9">
        <v>13</v>
      </c>
      <c r="J113" s="9" t="s">
        <v>48</v>
      </c>
      <c r="K113" s="9" t="s">
        <v>170</v>
      </c>
      <c r="L113" s="9" t="s">
        <v>65</v>
      </c>
      <c r="O113" s="9">
        <v>178</v>
      </c>
      <c r="P113" s="9">
        <v>1</v>
      </c>
      <c r="Q113" s="9" t="b">
        <v>0</v>
      </c>
      <c r="R113" s="9" t="b">
        <v>0</v>
      </c>
      <c r="S113" s="9" t="s">
        <v>171</v>
      </c>
    </row>
    <row r="114" spans="7:19" x14ac:dyDescent="0.4">
      <c r="G114" s="9" t="s">
        <v>140</v>
      </c>
      <c r="H114" s="9" t="s">
        <v>119</v>
      </c>
      <c r="I114" s="9">
        <v>9</v>
      </c>
      <c r="J114" s="9" t="s">
        <v>48</v>
      </c>
      <c r="K114" s="9" t="s">
        <v>172</v>
      </c>
      <c r="L114" s="9" t="s">
        <v>58</v>
      </c>
      <c r="O114" s="9">
        <v>191</v>
      </c>
      <c r="P114" s="9">
        <v>1</v>
      </c>
      <c r="Q114" s="9" t="b">
        <v>0</v>
      </c>
      <c r="R114" s="9" t="b">
        <v>0</v>
      </c>
      <c r="S114" s="9" t="s">
        <v>173</v>
      </c>
    </row>
    <row r="115" spans="7:19" ht="24" x14ac:dyDescent="0.4">
      <c r="G115" s="9" t="s">
        <v>140</v>
      </c>
      <c r="H115" s="9" t="s">
        <v>119</v>
      </c>
      <c r="I115" s="9">
        <v>7</v>
      </c>
      <c r="J115" s="9" t="s">
        <v>48</v>
      </c>
      <c r="K115" s="9" t="s">
        <v>174</v>
      </c>
      <c r="L115" s="9" t="s">
        <v>176</v>
      </c>
      <c r="O115" s="9">
        <v>200</v>
      </c>
      <c r="P115" s="9">
        <v>1</v>
      </c>
      <c r="Q115" s="9" t="b">
        <v>0</v>
      </c>
      <c r="R115" s="9" t="b">
        <v>0</v>
      </c>
      <c r="S115" s="9" t="s">
        <v>175</v>
      </c>
    </row>
    <row r="116" spans="7:19" ht="24" x14ac:dyDescent="0.4">
      <c r="G116" s="9" t="s">
        <v>140</v>
      </c>
      <c r="H116" s="9" t="s">
        <v>119</v>
      </c>
      <c r="I116" s="9">
        <v>13</v>
      </c>
      <c r="J116" s="9" t="s">
        <v>53</v>
      </c>
      <c r="K116" s="9" t="s">
        <v>177</v>
      </c>
      <c r="L116" s="9" t="s">
        <v>179</v>
      </c>
      <c r="O116" s="9">
        <v>207</v>
      </c>
      <c r="P116" s="9">
        <v>1</v>
      </c>
      <c r="Q116" s="9" t="b">
        <v>0</v>
      </c>
      <c r="R116" s="9" t="b">
        <v>0</v>
      </c>
      <c r="S116" s="9" t="s">
        <v>178</v>
      </c>
    </row>
    <row r="117" spans="7:19" ht="48" x14ac:dyDescent="0.4">
      <c r="G117" s="9" t="s">
        <v>140</v>
      </c>
      <c r="H117" s="9" t="s">
        <v>119</v>
      </c>
      <c r="I117" s="9">
        <v>21</v>
      </c>
      <c r="J117" s="9" t="s">
        <v>48</v>
      </c>
      <c r="K117" s="9" t="s">
        <v>183</v>
      </c>
      <c r="L117" s="9" t="s">
        <v>381</v>
      </c>
      <c r="O117" s="9">
        <v>220</v>
      </c>
      <c r="P117" s="9">
        <v>1</v>
      </c>
      <c r="Q117" s="9" t="b">
        <v>0</v>
      </c>
      <c r="R117" s="9" t="b">
        <v>0</v>
      </c>
      <c r="S117" s="9" t="s">
        <v>382</v>
      </c>
    </row>
    <row r="118" spans="7:19" ht="48" x14ac:dyDescent="0.4">
      <c r="G118" s="9" t="s">
        <v>140</v>
      </c>
      <c r="H118" s="9" t="s">
        <v>119</v>
      </c>
      <c r="I118" s="9">
        <v>21</v>
      </c>
      <c r="J118" s="9" t="s">
        <v>48</v>
      </c>
      <c r="K118" s="9" t="s">
        <v>184</v>
      </c>
      <c r="L118" s="9" t="s">
        <v>381</v>
      </c>
      <c r="O118" s="9">
        <v>241</v>
      </c>
      <c r="P118" s="9">
        <v>1</v>
      </c>
      <c r="Q118" s="9" t="b">
        <v>0</v>
      </c>
      <c r="R118" s="9" t="b">
        <v>0</v>
      </c>
      <c r="S118" s="9" t="s">
        <v>383</v>
      </c>
    </row>
    <row r="119" spans="7:19" ht="24" x14ac:dyDescent="0.4">
      <c r="G119" s="9" t="s">
        <v>185</v>
      </c>
      <c r="H119" s="9" t="s">
        <v>119</v>
      </c>
      <c r="I119" s="9">
        <v>7</v>
      </c>
      <c r="J119" s="9" t="s">
        <v>53</v>
      </c>
      <c r="K119" s="9" t="s">
        <v>186</v>
      </c>
      <c r="L119" s="9" t="s">
        <v>384</v>
      </c>
      <c r="O119" s="9">
        <v>1</v>
      </c>
      <c r="P119" s="9">
        <v>1</v>
      </c>
      <c r="Q119" s="9" t="b">
        <v>0</v>
      </c>
      <c r="R119" s="9" t="b">
        <v>0</v>
      </c>
      <c r="S119" s="9" t="s">
        <v>385</v>
      </c>
    </row>
    <row r="120" spans="7:19" ht="24" x14ac:dyDescent="0.4">
      <c r="G120" s="9" t="s">
        <v>185</v>
      </c>
      <c r="H120" s="9" t="s">
        <v>119</v>
      </c>
      <c r="I120" s="9">
        <v>14</v>
      </c>
      <c r="J120" s="9" t="s">
        <v>48</v>
      </c>
      <c r="K120" s="9" t="s">
        <v>192</v>
      </c>
      <c r="L120" s="9" t="s">
        <v>194</v>
      </c>
      <c r="O120" s="9">
        <v>9</v>
      </c>
      <c r="P120" s="9">
        <v>1</v>
      </c>
      <c r="Q120" s="9" t="b">
        <v>0</v>
      </c>
      <c r="R120" s="9" t="b">
        <v>0</v>
      </c>
      <c r="S120" s="9" t="s">
        <v>193</v>
      </c>
    </row>
    <row r="121" spans="7:19" ht="60" x14ac:dyDescent="0.4">
      <c r="G121" s="9" t="s">
        <v>185</v>
      </c>
      <c r="H121" s="9" t="s">
        <v>119</v>
      </c>
      <c r="I121" s="9">
        <v>4</v>
      </c>
      <c r="J121" s="9" t="s">
        <v>53</v>
      </c>
      <c r="K121" s="9" t="s">
        <v>187</v>
      </c>
      <c r="L121" s="9" t="s">
        <v>553</v>
      </c>
      <c r="O121" s="9">
        <v>23</v>
      </c>
      <c r="P121" s="9">
        <v>1</v>
      </c>
      <c r="Q121" s="9" t="b">
        <v>0</v>
      </c>
      <c r="R121" s="9" t="b">
        <v>0</v>
      </c>
      <c r="S121" s="9" t="s">
        <v>554</v>
      </c>
    </row>
    <row r="122" spans="7:19" ht="36" x14ac:dyDescent="0.4">
      <c r="G122" s="9" t="s">
        <v>185</v>
      </c>
      <c r="H122" s="9" t="s">
        <v>119</v>
      </c>
      <c r="I122" s="9">
        <v>28</v>
      </c>
      <c r="J122" s="9" t="s">
        <v>53</v>
      </c>
      <c r="K122" s="9" t="s">
        <v>188</v>
      </c>
      <c r="L122" s="9" t="s">
        <v>592</v>
      </c>
      <c r="O122" s="9">
        <v>27</v>
      </c>
      <c r="P122" s="9">
        <v>1</v>
      </c>
      <c r="Q122" s="9" t="b">
        <v>0</v>
      </c>
      <c r="R122" s="9" t="b">
        <v>0</v>
      </c>
      <c r="S122" s="9" t="s">
        <v>593</v>
      </c>
    </row>
    <row r="123" spans="7:19" ht="24" x14ac:dyDescent="0.4">
      <c r="G123" s="9" t="s">
        <v>185</v>
      </c>
      <c r="H123" s="9" t="s">
        <v>119</v>
      </c>
      <c r="I123" s="9">
        <v>21</v>
      </c>
      <c r="J123" s="9" t="s">
        <v>53</v>
      </c>
      <c r="K123" s="9" t="s">
        <v>189</v>
      </c>
      <c r="L123" s="9" t="s">
        <v>386</v>
      </c>
      <c r="O123" s="9">
        <v>55</v>
      </c>
      <c r="P123" s="9">
        <v>1</v>
      </c>
      <c r="Q123" s="9" t="b">
        <v>0</v>
      </c>
      <c r="R123" s="9" t="b">
        <v>0</v>
      </c>
      <c r="S123" s="9" t="s">
        <v>387</v>
      </c>
    </row>
    <row r="124" spans="7:19" ht="24" x14ac:dyDescent="0.4">
      <c r="G124" s="9" t="s">
        <v>185</v>
      </c>
      <c r="H124" s="9" t="s">
        <v>119</v>
      </c>
      <c r="I124" s="9">
        <v>26</v>
      </c>
      <c r="J124" s="9" t="s">
        <v>53</v>
      </c>
      <c r="K124" s="9" t="s">
        <v>190</v>
      </c>
      <c r="L124" s="9" t="s">
        <v>386</v>
      </c>
      <c r="O124" s="9">
        <v>76</v>
      </c>
      <c r="P124" s="9">
        <v>1</v>
      </c>
      <c r="Q124" s="9" t="b">
        <v>0</v>
      </c>
      <c r="R124" s="9" t="b">
        <v>0</v>
      </c>
      <c r="S124" s="9" t="s">
        <v>388</v>
      </c>
    </row>
    <row r="125" spans="7:19" ht="24" x14ac:dyDescent="0.4">
      <c r="G125" s="9" t="s">
        <v>185</v>
      </c>
      <c r="H125" s="9" t="s">
        <v>119</v>
      </c>
      <c r="I125" s="9">
        <v>31</v>
      </c>
      <c r="J125" s="9" t="s">
        <v>53</v>
      </c>
      <c r="K125" s="9" t="s">
        <v>191</v>
      </c>
      <c r="L125" s="9" t="s">
        <v>386</v>
      </c>
      <c r="O125" s="9">
        <v>102</v>
      </c>
      <c r="P125" s="9">
        <v>1</v>
      </c>
      <c r="Q125" s="9" t="b">
        <v>0</v>
      </c>
      <c r="R125" s="9" t="b">
        <v>0</v>
      </c>
      <c r="S125" s="9" t="s">
        <v>389</v>
      </c>
    </row>
    <row r="126" spans="7:19" ht="60" x14ac:dyDescent="0.4">
      <c r="G126" s="9" t="s">
        <v>195</v>
      </c>
      <c r="H126" s="9" t="s">
        <v>119</v>
      </c>
      <c r="I126" s="9">
        <v>20</v>
      </c>
      <c r="J126" s="9" t="s">
        <v>80</v>
      </c>
      <c r="K126" s="9" t="s">
        <v>196</v>
      </c>
      <c r="L126" s="9" t="s">
        <v>390</v>
      </c>
      <c r="M126" s="9" t="s">
        <v>144</v>
      </c>
      <c r="O126" s="9">
        <v>1</v>
      </c>
      <c r="P126" s="9">
        <v>1</v>
      </c>
      <c r="Q126" s="9" t="b">
        <v>0</v>
      </c>
      <c r="R126" s="9" t="b">
        <v>0</v>
      </c>
      <c r="S126" s="9" t="s">
        <v>391</v>
      </c>
    </row>
    <row r="127" spans="7:19" ht="60" x14ac:dyDescent="0.4">
      <c r="G127" s="9" t="s">
        <v>195</v>
      </c>
      <c r="H127" s="9" t="s">
        <v>119</v>
      </c>
      <c r="I127" s="9">
        <v>10</v>
      </c>
      <c r="J127" s="9" t="s">
        <v>199</v>
      </c>
      <c r="K127" s="9" t="s">
        <v>197</v>
      </c>
      <c r="L127" s="9" t="s">
        <v>200</v>
      </c>
      <c r="O127" s="9">
        <v>22</v>
      </c>
      <c r="P127" s="9">
        <v>1</v>
      </c>
      <c r="Q127" s="9" t="b">
        <v>0</v>
      </c>
      <c r="R127" s="9" t="b">
        <v>0</v>
      </c>
      <c r="S127" s="9" t="s">
        <v>198</v>
      </c>
    </row>
    <row r="128" spans="7:19" ht="72" x14ac:dyDescent="0.4">
      <c r="G128" s="9" t="s">
        <v>195</v>
      </c>
      <c r="H128" s="9" t="s">
        <v>119</v>
      </c>
      <c r="I128" s="9">
        <v>13</v>
      </c>
      <c r="J128" s="9" t="s">
        <v>53</v>
      </c>
      <c r="K128" s="9" t="s">
        <v>201</v>
      </c>
      <c r="L128" s="9" t="s">
        <v>203</v>
      </c>
      <c r="O128" s="9">
        <v>32</v>
      </c>
      <c r="P128" s="9">
        <v>1</v>
      </c>
      <c r="Q128" s="9" t="b">
        <v>0</v>
      </c>
      <c r="R128" s="9" t="b">
        <v>0</v>
      </c>
      <c r="S128" s="9" t="s">
        <v>202</v>
      </c>
    </row>
    <row r="129" spans="7:19" ht="36" x14ac:dyDescent="0.4">
      <c r="G129" s="9" t="s">
        <v>195</v>
      </c>
      <c r="H129" s="9" t="s">
        <v>119</v>
      </c>
      <c r="I129" s="9">
        <v>18</v>
      </c>
      <c r="J129" s="9" t="s">
        <v>48</v>
      </c>
      <c r="K129" s="9" t="s">
        <v>204</v>
      </c>
      <c r="L129" s="9" t="s">
        <v>206</v>
      </c>
      <c r="O129" s="9">
        <v>45</v>
      </c>
      <c r="P129" s="9">
        <v>1</v>
      </c>
      <c r="Q129" s="9" t="b">
        <v>0</v>
      </c>
      <c r="R129" s="9" t="b">
        <v>0</v>
      </c>
      <c r="S129" s="9" t="s">
        <v>205</v>
      </c>
    </row>
    <row r="130" spans="7:19" ht="24" x14ac:dyDescent="0.4">
      <c r="G130" s="9" t="s">
        <v>195</v>
      </c>
      <c r="H130" s="9" t="s">
        <v>119</v>
      </c>
      <c r="I130" s="9">
        <v>22</v>
      </c>
      <c r="J130" s="9" t="s">
        <v>48</v>
      </c>
      <c r="K130" s="9" t="s">
        <v>207</v>
      </c>
      <c r="L130" s="9" t="s">
        <v>209</v>
      </c>
      <c r="O130" s="9">
        <v>63</v>
      </c>
      <c r="P130" s="9">
        <v>1</v>
      </c>
      <c r="Q130" s="9" t="b">
        <v>0</v>
      </c>
      <c r="R130" s="9" t="b">
        <v>0</v>
      </c>
      <c r="S130" s="9" t="s">
        <v>208</v>
      </c>
    </row>
    <row r="131" spans="7:19" ht="24" x14ac:dyDescent="0.4">
      <c r="G131" s="9" t="s">
        <v>298</v>
      </c>
      <c r="H131" s="9" t="s">
        <v>119</v>
      </c>
      <c r="I131" s="9">
        <v>3</v>
      </c>
      <c r="J131" s="9" t="s">
        <v>48</v>
      </c>
      <c r="K131" s="9" t="s">
        <v>299</v>
      </c>
      <c r="L131" s="9" t="s">
        <v>300</v>
      </c>
      <c r="O131" s="9">
        <v>1</v>
      </c>
      <c r="P131" s="9">
        <v>1</v>
      </c>
      <c r="Q131" s="9" t="b">
        <v>0</v>
      </c>
      <c r="R131" s="9" t="b">
        <v>0</v>
      </c>
      <c r="S131" s="9" t="s">
        <v>301</v>
      </c>
    </row>
    <row r="132" spans="7:19" ht="24" x14ac:dyDescent="0.4">
      <c r="G132" s="9" t="s">
        <v>298</v>
      </c>
      <c r="H132" s="9" t="s">
        <v>119</v>
      </c>
      <c r="I132" s="9">
        <v>4</v>
      </c>
      <c r="J132" s="9" t="s">
        <v>48</v>
      </c>
      <c r="K132" s="9" t="s">
        <v>302</v>
      </c>
      <c r="L132" s="9" t="s">
        <v>300</v>
      </c>
      <c r="O132" s="9">
        <v>5</v>
      </c>
      <c r="P132" s="9">
        <v>1</v>
      </c>
      <c r="Q132" s="9" t="b">
        <v>0</v>
      </c>
      <c r="R132" s="9" t="b">
        <v>0</v>
      </c>
      <c r="S132" s="9" t="s">
        <v>303</v>
      </c>
    </row>
    <row r="133" spans="7:19" ht="36" x14ac:dyDescent="0.4">
      <c r="G133" s="9" t="s">
        <v>298</v>
      </c>
      <c r="H133" s="9" t="s">
        <v>119</v>
      </c>
      <c r="I133" s="9">
        <v>4</v>
      </c>
      <c r="J133" s="9" t="s">
        <v>48</v>
      </c>
      <c r="K133" s="9" t="s">
        <v>304</v>
      </c>
      <c r="L133" s="9" t="s">
        <v>305</v>
      </c>
      <c r="O133" s="9">
        <v>9</v>
      </c>
      <c r="P133" s="9">
        <v>1</v>
      </c>
      <c r="Q133" s="9" t="b">
        <v>0</v>
      </c>
      <c r="R133" s="9" t="b">
        <v>0</v>
      </c>
      <c r="S133" s="9" t="s">
        <v>306</v>
      </c>
    </row>
    <row r="134" spans="7:19" ht="36" x14ac:dyDescent="0.4">
      <c r="G134" s="9" t="s">
        <v>298</v>
      </c>
      <c r="H134" s="9" t="s">
        <v>119</v>
      </c>
      <c r="I134" s="9">
        <v>14</v>
      </c>
      <c r="J134" s="9" t="s">
        <v>48</v>
      </c>
      <c r="K134" s="9" t="s">
        <v>307</v>
      </c>
      <c r="L134" s="9" t="s">
        <v>308</v>
      </c>
      <c r="O134" s="9">
        <v>13</v>
      </c>
      <c r="P134" s="9">
        <v>1</v>
      </c>
      <c r="Q134" s="9" t="b">
        <v>0</v>
      </c>
      <c r="R134" s="9" t="b">
        <v>0</v>
      </c>
      <c r="S134" s="9" t="s">
        <v>309</v>
      </c>
    </row>
    <row r="135" spans="7:19" ht="36" x14ac:dyDescent="0.4">
      <c r="G135" s="9" t="s">
        <v>298</v>
      </c>
      <c r="H135" s="9" t="s">
        <v>119</v>
      </c>
      <c r="I135" s="9">
        <v>18</v>
      </c>
      <c r="J135" s="9" t="s">
        <v>53</v>
      </c>
      <c r="K135" s="9" t="s">
        <v>310</v>
      </c>
      <c r="L135" s="9" t="s">
        <v>311</v>
      </c>
      <c r="O135" s="9">
        <v>27</v>
      </c>
      <c r="P135" s="9">
        <v>1</v>
      </c>
      <c r="Q135" s="9" t="b">
        <v>0</v>
      </c>
      <c r="R135" s="9" t="b">
        <v>0</v>
      </c>
      <c r="S135" s="9" t="s">
        <v>312</v>
      </c>
    </row>
    <row r="136" spans="7:19" x14ac:dyDescent="0.4">
      <c r="G136" s="9" t="s">
        <v>298</v>
      </c>
      <c r="H136" s="9" t="s">
        <v>119</v>
      </c>
      <c r="I136" s="9">
        <v>11</v>
      </c>
      <c r="J136" s="9" t="s">
        <v>53</v>
      </c>
      <c r="K136" s="9" t="s">
        <v>313</v>
      </c>
      <c r="O136" s="9">
        <v>45</v>
      </c>
      <c r="P136" s="9">
        <v>1</v>
      </c>
      <c r="Q136" s="9" t="b">
        <v>0</v>
      </c>
      <c r="R136" s="9" t="b">
        <v>0</v>
      </c>
      <c r="S136" s="9" t="s">
        <v>314</v>
      </c>
    </row>
    <row r="137" spans="7:19" ht="36" x14ac:dyDescent="0.4">
      <c r="G137" s="9" t="s">
        <v>315</v>
      </c>
      <c r="H137" s="9" t="s">
        <v>119</v>
      </c>
      <c r="I137" s="9">
        <v>9</v>
      </c>
      <c r="J137" s="9" t="s">
        <v>53</v>
      </c>
      <c r="K137" s="9" t="s">
        <v>106</v>
      </c>
      <c r="L137" s="9" t="s">
        <v>105</v>
      </c>
      <c r="O137" s="9">
        <v>5</v>
      </c>
      <c r="P137" s="9">
        <v>1</v>
      </c>
      <c r="Q137" s="9" t="b">
        <v>0</v>
      </c>
      <c r="R137" s="9" t="b">
        <v>0</v>
      </c>
      <c r="S137" s="9" t="s">
        <v>107</v>
      </c>
    </row>
    <row r="138" spans="7:19" ht="36" x14ac:dyDescent="0.4">
      <c r="G138" s="9" t="s">
        <v>315</v>
      </c>
      <c r="H138" s="9" t="s">
        <v>119</v>
      </c>
      <c r="I138" s="9">
        <v>12</v>
      </c>
      <c r="J138" s="9" t="s">
        <v>53</v>
      </c>
      <c r="K138" s="9" t="s">
        <v>108</v>
      </c>
      <c r="L138" s="9" t="s">
        <v>105</v>
      </c>
      <c r="O138" s="9">
        <v>14</v>
      </c>
      <c r="P138" s="9">
        <v>1</v>
      </c>
      <c r="Q138" s="9" t="b">
        <v>0</v>
      </c>
      <c r="R138" s="9" t="b">
        <v>0</v>
      </c>
      <c r="S138" s="9" t="s">
        <v>109</v>
      </c>
    </row>
    <row r="139" spans="7:19" ht="36" x14ac:dyDescent="0.4">
      <c r="G139" s="9" t="s">
        <v>315</v>
      </c>
      <c r="H139" s="9" t="s">
        <v>119</v>
      </c>
      <c r="I139" s="9">
        <v>15</v>
      </c>
      <c r="J139" s="9" t="s">
        <v>53</v>
      </c>
      <c r="K139" s="9" t="s">
        <v>110</v>
      </c>
      <c r="L139" s="9" t="s">
        <v>105</v>
      </c>
      <c r="O139" s="9">
        <v>26</v>
      </c>
      <c r="P139" s="9">
        <v>1</v>
      </c>
      <c r="Q139" s="9" t="b">
        <v>0</v>
      </c>
      <c r="R139" s="9" t="b">
        <v>0</v>
      </c>
      <c r="S139" s="9" t="s">
        <v>111</v>
      </c>
    </row>
    <row r="140" spans="7:19" ht="60" x14ac:dyDescent="0.4">
      <c r="G140" s="9" t="s">
        <v>315</v>
      </c>
      <c r="H140" s="9" t="s">
        <v>119</v>
      </c>
      <c r="I140" s="9">
        <v>12</v>
      </c>
      <c r="J140" s="9" t="s">
        <v>48</v>
      </c>
      <c r="K140" s="9" t="s">
        <v>112</v>
      </c>
      <c r="L140" s="9" t="s">
        <v>114</v>
      </c>
      <c r="O140" s="9">
        <v>41</v>
      </c>
      <c r="P140" s="9">
        <v>1</v>
      </c>
      <c r="Q140" s="9" t="b">
        <v>0</v>
      </c>
      <c r="R140" s="9" t="b">
        <v>0</v>
      </c>
      <c r="S140" s="9" t="s">
        <v>113</v>
      </c>
    </row>
    <row r="141" spans="7:19" ht="72" x14ac:dyDescent="0.4">
      <c r="G141" s="9" t="s">
        <v>315</v>
      </c>
      <c r="H141" s="9" t="s">
        <v>119</v>
      </c>
      <c r="I141" s="9">
        <v>17</v>
      </c>
      <c r="J141" s="9" t="s">
        <v>48</v>
      </c>
      <c r="K141" s="9" t="s">
        <v>115</v>
      </c>
      <c r="L141" s="9" t="s">
        <v>117</v>
      </c>
      <c r="O141" s="9">
        <v>53</v>
      </c>
      <c r="P141" s="9">
        <v>1</v>
      </c>
      <c r="Q141" s="9" t="b">
        <v>0</v>
      </c>
      <c r="R141" s="9" t="b">
        <v>0</v>
      </c>
      <c r="S141" s="9" t="s">
        <v>116</v>
      </c>
    </row>
    <row r="142" spans="7:19" ht="36" x14ac:dyDescent="0.4">
      <c r="G142" s="9" t="s">
        <v>315</v>
      </c>
      <c r="H142" s="9" t="s">
        <v>119</v>
      </c>
      <c r="I142" s="9">
        <v>8</v>
      </c>
      <c r="J142" s="9" t="s">
        <v>48</v>
      </c>
      <c r="K142" s="9" t="s">
        <v>180</v>
      </c>
      <c r="L142" s="9" t="s">
        <v>182</v>
      </c>
      <c r="O142" s="9">
        <v>70</v>
      </c>
      <c r="P142" s="9">
        <v>1</v>
      </c>
      <c r="Q142" s="9" t="b">
        <v>0</v>
      </c>
      <c r="R142" s="9" t="b">
        <v>0</v>
      </c>
      <c r="S142" s="9" t="s">
        <v>181</v>
      </c>
    </row>
    <row r="143" spans="7:19" ht="60" x14ac:dyDescent="0.4">
      <c r="G143" s="9" t="s">
        <v>210</v>
      </c>
      <c r="H143" s="9" t="s">
        <v>119</v>
      </c>
      <c r="I143" s="9">
        <v>9</v>
      </c>
      <c r="J143" s="9" t="s">
        <v>53</v>
      </c>
      <c r="K143" s="9" t="s">
        <v>219</v>
      </c>
      <c r="L143" s="9" t="s">
        <v>221</v>
      </c>
      <c r="O143" s="9">
        <v>7</v>
      </c>
      <c r="P143" s="9">
        <v>1</v>
      </c>
      <c r="Q143" s="9" t="b">
        <v>0</v>
      </c>
      <c r="R143" s="9" t="b">
        <v>0</v>
      </c>
      <c r="S143" s="9" t="s">
        <v>220</v>
      </c>
    </row>
    <row r="144" spans="7:19" x14ac:dyDescent="0.4">
      <c r="G144" s="9" t="s">
        <v>210</v>
      </c>
      <c r="H144" s="9" t="s">
        <v>119</v>
      </c>
      <c r="I144" s="9">
        <v>27</v>
      </c>
      <c r="J144" s="9" t="s">
        <v>53</v>
      </c>
      <c r="K144" s="9" t="s">
        <v>522</v>
      </c>
      <c r="L144" s="9" t="s">
        <v>523</v>
      </c>
      <c r="O144" s="9">
        <v>16</v>
      </c>
      <c r="P144" s="9">
        <v>1</v>
      </c>
      <c r="Q144" s="9" t="b">
        <v>0</v>
      </c>
      <c r="R144" s="9" t="b">
        <v>0</v>
      </c>
      <c r="S144" s="9" t="s">
        <v>524</v>
      </c>
    </row>
    <row r="145" spans="7:19" x14ac:dyDescent="0.4">
      <c r="G145" s="9" t="s">
        <v>210</v>
      </c>
      <c r="H145" s="9" t="s">
        <v>119</v>
      </c>
      <c r="I145" s="9">
        <v>5</v>
      </c>
      <c r="J145" s="9" t="s">
        <v>53</v>
      </c>
      <c r="K145" s="9" t="s">
        <v>525</v>
      </c>
      <c r="L145" s="9" t="s">
        <v>121</v>
      </c>
      <c r="O145" s="9">
        <v>43</v>
      </c>
      <c r="P145" s="9">
        <v>1</v>
      </c>
      <c r="Q145" s="9" t="b">
        <v>0</v>
      </c>
      <c r="R145" s="9" t="b">
        <v>0</v>
      </c>
      <c r="S145" s="9" t="s">
        <v>526</v>
      </c>
    </row>
    <row r="146" spans="7:19" ht="24" x14ac:dyDescent="0.4">
      <c r="G146" s="9" t="s">
        <v>210</v>
      </c>
      <c r="H146" s="9" t="s">
        <v>119</v>
      </c>
      <c r="I146" s="9">
        <v>61</v>
      </c>
      <c r="J146" s="9" t="s">
        <v>53</v>
      </c>
      <c r="K146" s="9" t="s">
        <v>527</v>
      </c>
      <c r="L146" s="9" t="s">
        <v>528</v>
      </c>
      <c r="O146" s="9">
        <v>48</v>
      </c>
      <c r="P146" s="9">
        <v>1</v>
      </c>
      <c r="Q146" s="9" t="b">
        <v>0</v>
      </c>
      <c r="R146" s="9" t="b">
        <v>0</v>
      </c>
      <c r="S146" s="9" t="s">
        <v>529</v>
      </c>
    </row>
    <row r="147" spans="7:19" ht="24" x14ac:dyDescent="0.4">
      <c r="G147" s="9" t="s">
        <v>210</v>
      </c>
      <c r="H147" s="9" t="s">
        <v>119</v>
      </c>
      <c r="I147" s="9">
        <v>10</v>
      </c>
      <c r="J147" s="9" t="s">
        <v>48</v>
      </c>
      <c r="K147" s="9" t="s">
        <v>530</v>
      </c>
      <c r="L147" s="9" t="s">
        <v>531</v>
      </c>
      <c r="M147" s="9" t="s">
        <v>226</v>
      </c>
      <c r="O147" s="9">
        <v>109</v>
      </c>
      <c r="P147" s="9">
        <v>1</v>
      </c>
      <c r="Q147" s="9" t="b">
        <v>0</v>
      </c>
      <c r="R147" s="9" t="b">
        <v>0</v>
      </c>
      <c r="S147" s="9" t="s">
        <v>532</v>
      </c>
    </row>
    <row r="148" spans="7:19" ht="24" x14ac:dyDescent="0.4">
      <c r="G148" s="9" t="s">
        <v>210</v>
      </c>
      <c r="H148" s="9" t="s">
        <v>119</v>
      </c>
      <c r="I148" s="9">
        <v>12</v>
      </c>
      <c r="J148" s="9" t="s">
        <v>48</v>
      </c>
      <c r="K148" s="9" t="s">
        <v>533</v>
      </c>
      <c r="L148" s="9" t="s">
        <v>534</v>
      </c>
      <c r="M148" s="9" t="s">
        <v>226</v>
      </c>
      <c r="O148" s="9">
        <v>119</v>
      </c>
      <c r="P148" s="9">
        <v>1</v>
      </c>
      <c r="Q148" s="9" t="b">
        <v>0</v>
      </c>
      <c r="R148" s="9" t="b">
        <v>0</v>
      </c>
      <c r="S148" s="9" t="s">
        <v>535</v>
      </c>
    </row>
    <row r="149" spans="7:19" ht="24" x14ac:dyDescent="0.4">
      <c r="G149" s="9" t="s">
        <v>210</v>
      </c>
      <c r="H149" s="9" t="s">
        <v>119</v>
      </c>
      <c r="I149" s="9">
        <v>12</v>
      </c>
      <c r="J149" s="9" t="s">
        <v>53</v>
      </c>
      <c r="K149" s="9" t="s">
        <v>536</v>
      </c>
      <c r="L149" s="9" t="s">
        <v>534</v>
      </c>
      <c r="O149" s="9">
        <v>131</v>
      </c>
      <c r="P149" s="9">
        <v>1</v>
      </c>
      <c r="Q149" s="9" t="b">
        <v>0</v>
      </c>
      <c r="R149" s="9" t="b">
        <v>0</v>
      </c>
      <c r="S149" s="9" t="s">
        <v>537</v>
      </c>
    </row>
    <row r="150" spans="7:19" x14ac:dyDescent="0.4">
      <c r="G150" s="9" t="s">
        <v>210</v>
      </c>
      <c r="H150" s="9" t="s">
        <v>119</v>
      </c>
      <c r="I150" s="9">
        <v>17</v>
      </c>
      <c r="J150" s="9" t="s">
        <v>48</v>
      </c>
      <c r="K150" s="9" t="s">
        <v>538</v>
      </c>
      <c r="L150" s="9" t="s">
        <v>364</v>
      </c>
      <c r="O150" s="9">
        <v>143</v>
      </c>
      <c r="P150" s="9">
        <v>1</v>
      </c>
      <c r="Q150" s="9" t="b">
        <v>0</v>
      </c>
      <c r="R150" s="9" t="b">
        <v>0</v>
      </c>
      <c r="S150" s="9" t="s">
        <v>539</v>
      </c>
    </row>
    <row r="151" spans="7:19" x14ac:dyDescent="0.4">
      <c r="G151" s="9" t="s">
        <v>210</v>
      </c>
      <c r="H151" s="9" t="s">
        <v>119</v>
      </c>
      <c r="I151" s="9">
        <v>21</v>
      </c>
      <c r="J151" s="9" t="s">
        <v>48</v>
      </c>
      <c r="K151" s="9" t="s">
        <v>540</v>
      </c>
      <c r="L151" s="9" t="s">
        <v>541</v>
      </c>
      <c r="M151" s="9" t="s">
        <v>226</v>
      </c>
      <c r="O151" s="9">
        <v>160</v>
      </c>
      <c r="P151" s="9">
        <v>1</v>
      </c>
      <c r="Q151" s="9" t="b">
        <v>0</v>
      </c>
      <c r="R151" s="9" t="b">
        <v>0</v>
      </c>
      <c r="S151" s="9" t="s">
        <v>542</v>
      </c>
    </row>
    <row r="152" spans="7:19" ht="72" x14ac:dyDescent="0.4">
      <c r="G152" s="9" t="s">
        <v>210</v>
      </c>
      <c r="H152" s="9" t="s">
        <v>119</v>
      </c>
      <c r="I152" s="9">
        <v>32</v>
      </c>
      <c r="J152" s="9" t="s">
        <v>48</v>
      </c>
      <c r="K152" s="9" t="s">
        <v>365</v>
      </c>
      <c r="L152" s="9" t="s">
        <v>594</v>
      </c>
      <c r="M152" s="9" t="s">
        <v>226</v>
      </c>
      <c r="O152" s="9">
        <v>181</v>
      </c>
      <c r="P152" s="9">
        <v>1</v>
      </c>
      <c r="Q152" s="9" t="b">
        <v>0</v>
      </c>
      <c r="R152" s="9" t="b">
        <v>0</v>
      </c>
      <c r="S152" s="9" t="s">
        <v>595</v>
      </c>
    </row>
    <row r="153" spans="7:19" ht="24" x14ac:dyDescent="0.4">
      <c r="G153" s="9" t="s">
        <v>210</v>
      </c>
      <c r="H153" s="9" t="s">
        <v>119</v>
      </c>
      <c r="I153" s="9">
        <v>13</v>
      </c>
      <c r="J153" s="9" t="s">
        <v>48</v>
      </c>
      <c r="K153" s="9" t="s">
        <v>543</v>
      </c>
      <c r="L153" s="9" t="s">
        <v>346</v>
      </c>
      <c r="O153" s="9">
        <v>213</v>
      </c>
      <c r="P153" s="9">
        <v>1</v>
      </c>
      <c r="Q153" s="9" t="b">
        <v>0</v>
      </c>
      <c r="R153" s="9" t="b">
        <v>0</v>
      </c>
      <c r="S153" s="9" t="s">
        <v>544</v>
      </c>
    </row>
    <row r="154" spans="7:19" x14ac:dyDescent="0.4">
      <c r="G154" s="9" t="s">
        <v>210</v>
      </c>
      <c r="H154" s="9" t="s">
        <v>119</v>
      </c>
      <c r="I154" s="9">
        <v>12</v>
      </c>
      <c r="J154" s="9" t="s">
        <v>48</v>
      </c>
      <c r="K154" s="9" t="s">
        <v>545</v>
      </c>
      <c r="L154" s="9" t="s">
        <v>347</v>
      </c>
      <c r="M154" s="9" t="s">
        <v>226</v>
      </c>
      <c r="O154" s="9">
        <v>226</v>
      </c>
      <c r="P154" s="9">
        <v>1</v>
      </c>
      <c r="Q154" s="9" t="b">
        <v>0</v>
      </c>
      <c r="R154" s="9" t="b">
        <v>0</v>
      </c>
      <c r="S154" s="9" t="s">
        <v>546</v>
      </c>
    </row>
    <row r="155" spans="7:19" ht="36" x14ac:dyDescent="0.4">
      <c r="G155" s="9" t="s">
        <v>210</v>
      </c>
      <c r="H155" s="9" t="s">
        <v>119</v>
      </c>
      <c r="I155" s="9">
        <v>12</v>
      </c>
      <c r="J155" s="9" t="s">
        <v>48</v>
      </c>
      <c r="K155" s="9" t="s">
        <v>547</v>
      </c>
      <c r="L155" s="9" t="s">
        <v>122</v>
      </c>
      <c r="O155" s="9">
        <v>238</v>
      </c>
      <c r="P155" s="9">
        <v>1</v>
      </c>
      <c r="Q155" s="9" t="b">
        <v>0</v>
      </c>
      <c r="R155" s="9" t="b">
        <v>0</v>
      </c>
      <c r="S155" s="9" t="s">
        <v>548</v>
      </c>
    </row>
    <row r="156" spans="7:19" ht="24" x14ac:dyDescent="0.4">
      <c r="G156" s="9" t="s">
        <v>210</v>
      </c>
      <c r="H156" s="9" t="s">
        <v>119</v>
      </c>
      <c r="I156" s="9">
        <v>7</v>
      </c>
      <c r="J156" s="9" t="s">
        <v>48</v>
      </c>
      <c r="K156" s="9" t="s">
        <v>549</v>
      </c>
      <c r="L156" s="9" t="s">
        <v>366</v>
      </c>
      <c r="O156" s="9">
        <v>250</v>
      </c>
      <c r="P156" s="9">
        <v>1</v>
      </c>
      <c r="Q156" s="9" t="b">
        <v>0</v>
      </c>
      <c r="R156" s="9" t="b">
        <v>0</v>
      </c>
      <c r="S156" s="9" t="s">
        <v>550</v>
      </c>
    </row>
    <row r="157" spans="7:19" ht="24" x14ac:dyDescent="0.4">
      <c r="G157" s="9" t="s">
        <v>210</v>
      </c>
      <c r="H157" s="9" t="s">
        <v>119</v>
      </c>
      <c r="I157" s="9">
        <v>8</v>
      </c>
      <c r="J157" s="9" t="s">
        <v>48</v>
      </c>
      <c r="K157" s="9" t="s">
        <v>367</v>
      </c>
      <c r="L157" s="9" t="s">
        <v>368</v>
      </c>
      <c r="O157" s="9">
        <v>257</v>
      </c>
      <c r="P157" s="9">
        <v>1</v>
      </c>
      <c r="Q157" s="9" t="b">
        <v>0</v>
      </c>
      <c r="R157" s="9" t="b">
        <v>0</v>
      </c>
      <c r="S157" s="9" t="s">
        <v>369</v>
      </c>
    </row>
    <row r="158" spans="7:19" x14ac:dyDescent="0.4">
      <c r="G158" s="9" t="s">
        <v>210</v>
      </c>
      <c r="H158" s="9" t="s">
        <v>119</v>
      </c>
      <c r="I158" s="9">
        <v>42</v>
      </c>
      <c r="J158" s="9" t="s">
        <v>80</v>
      </c>
      <c r="K158" s="9" t="s">
        <v>370</v>
      </c>
      <c r="L158" s="9" t="s">
        <v>143</v>
      </c>
      <c r="M158" s="9" t="s">
        <v>144</v>
      </c>
      <c r="O158" s="9">
        <v>265</v>
      </c>
      <c r="P158" s="9">
        <v>1</v>
      </c>
      <c r="Q158" s="9" t="b">
        <v>0</v>
      </c>
      <c r="R158" s="9" t="b">
        <v>0</v>
      </c>
      <c r="S158" s="9" t="s">
        <v>371</v>
      </c>
    </row>
    <row r="159" spans="7:19" ht="72" x14ac:dyDescent="0.4">
      <c r="G159" s="9" t="s">
        <v>229</v>
      </c>
      <c r="H159" s="9" t="s">
        <v>119</v>
      </c>
      <c r="I159" s="9">
        <v>47</v>
      </c>
      <c r="J159" s="9" t="s">
        <v>48</v>
      </c>
      <c r="K159" s="9" t="s">
        <v>230</v>
      </c>
      <c r="L159" s="9" t="s">
        <v>551</v>
      </c>
      <c r="M159" s="9" t="s">
        <v>226</v>
      </c>
      <c r="O159" s="9">
        <v>9</v>
      </c>
      <c r="P159" s="9">
        <v>2</v>
      </c>
      <c r="Q159" s="9" t="b">
        <v>0</v>
      </c>
      <c r="R159" s="9" t="b">
        <v>0</v>
      </c>
      <c r="S159" s="9" t="s">
        <v>552</v>
      </c>
    </row>
    <row r="160" spans="7:19" x14ac:dyDescent="0.4">
      <c r="G160" s="9" t="s">
        <v>229</v>
      </c>
      <c r="H160" s="9" t="s">
        <v>119</v>
      </c>
      <c r="I160" s="9">
        <v>9</v>
      </c>
      <c r="J160" s="9" t="s">
        <v>48</v>
      </c>
      <c r="K160" s="9" t="s">
        <v>394</v>
      </c>
      <c r="L160" s="9" t="s">
        <v>395</v>
      </c>
      <c r="M160" s="9" t="s">
        <v>226</v>
      </c>
      <c r="O160" s="9">
        <v>56</v>
      </c>
      <c r="P160" s="9">
        <v>1</v>
      </c>
      <c r="Q160" s="9" t="b">
        <v>0</v>
      </c>
      <c r="R160" s="9" t="b">
        <v>0</v>
      </c>
      <c r="S160" s="9" t="s">
        <v>396</v>
      </c>
    </row>
    <row r="161" spans="7:19" x14ac:dyDescent="0.4">
      <c r="G161" s="9" t="s">
        <v>229</v>
      </c>
      <c r="H161" s="9" t="s">
        <v>119</v>
      </c>
      <c r="I161" s="9">
        <v>9</v>
      </c>
      <c r="J161" s="9" t="s">
        <v>48</v>
      </c>
      <c r="K161" s="9" t="s">
        <v>397</v>
      </c>
      <c r="L161" s="9" t="s">
        <v>398</v>
      </c>
      <c r="M161" s="9" t="s">
        <v>226</v>
      </c>
      <c r="O161" s="9">
        <v>65</v>
      </c>
      <c r="P161" s="9">
        <v>1</v>
      </c>
      <c r="Q161" s="9" t="b">
        <v>0</v>
      </c>
      <c r="R161" s="9" t="b">
        <v>0</v>
      </c>
      <c r="S161" s="9" t="s">
        <v>399</v>
      </c>
    </row>
    <row r="162" spans="7:19" ht="36" x14ac:dyDescent="0.4">
      <c r="G162" s="9" t="s">
        <v>229</v>
      </c>
      <c r="H162" s="9" t="s">
        <v>119</v>
      </c>
      <c r="I162" s="9">
        <v>26</v>
      </c>
      <c r="J162" s="9" t="s">
        <v>48</v>
      </c>
      <c r="K162" s="9" t="s">
        <v>231</v>
      </c>
      <c r="L162" s="9" t="s">
        <v>232</v>
      </c>
      <c r="M162" s="9" t="s">
        <v>226</v>
      </c>
      <c r="O162" s="9">
        <v>74</v>
      </c>
      <c r="P162" s="9">
        <v>1</v>
      </c>
      <c r="Q162" s="9" t="b">
        <v>0</v>
      </c>
      <c r="R162" s="9" t="b">
        <v>0</v>
      </c>
      <c r="S162" s="9" t="s">
        <v>348</v>
      </c>
    </row>
    <row r="163" spans="7:19" x14ac:dyDescent="0.4">
      <c r="G163" s="9" t="s">
        <v>229</v>
      </c>
      <c r="H163" s="9" t="s">
        <v>119</v>
      </c>
      <c r="I163" s="9">
        <v>12</v>
      </c>
      <c r="J163" s="9" t="s">
        <v>48</v>
      </c>
      <c r="K163" s="9" t="s">
        <v>233</v>
      </c>
      <c r="L163" s="9" t="s">
        <v>235</v>
      </c>
      <c r="O163" s="9">
        <v>100</v>
      </c>
      <c r="P163" s="9">
        <v>1</v>
      </c>
      <c r="Q163" s="9" t="b">
        <v>0</v>
      </c>
      <c r="R163" s="9" t="b">
        <v>0</v>
      </c>
      <c r="S163" s="9" t="s">
        <v>234</v>
      </c>
    </row>
    <row r="164" spans="7:19" x14ac:dyDescent="0.4">
      <c r="G164" s="9" t="s">
        <v>229</v>
      </c>
      <c r="H164" s="9" t="s">
        <v>119</v>
      </c>
      <c r="I164" s="9">
        <v>9</v>
      </c>
      <c r="J164" s="9" t="s">
        <v>48</v>
      </c>
      <c r="K164" s="9" t="s">
        <v>236</v>
      </c>
      <c r="L164" s="9" t="s">
        <v>398</v>
      </c>
      <c r="O164" s="9">
        <v>112</v>
      </c>
      <c r="P164" s="9">
        <v>1</v>
      </c>
      <c r="Q164" s="9" t="b">
        <v>0</v>
      </c>
      <c r="R164" s="9" t="b">
        <v>0</v>
      </c>
      <c r="S164" s="9" t="s">
        <v>400</v>
      </c>
    </row>
    <row r="165" spans="7:19" x14ac:dyDescent="0.4">
      <c r="G165" s="9" t="s">
        <v>229</v>
      </c>
      <c r="H165" s="9" t="s">
        <v>119</v>
      </c>
      <c r="I165" s="9">
        <v>16</v>
      </c>
      <c r="J165" s="9" t="s">
        <v>48</v>
      </c>
      <c r="K165" s="9" t="s">
        <v>237</v>
      </c>
      <c r="L165" s="9" t="s">
        <v>65</v>
      </c>
      <c r="O165" s="9">
        <v>121</v>
      </c>
      <c r="P165" s="9">
        <v>1</v>
      </c>
      <c r="Q165" s="9" t="b">
        <v>0</v>
      </c>
      <c r="R165" s="9" t="b">
        <v>0</v>
      </c>
      <c r="S165" s="9" t="s">
        <v>238</v>
      </c>
    </row>
    <row r="166" spans="7:19" ht="36" x14ac:dyDescent="0.4">
      <c r="G166" s="9" t="s">
        <v>229</v>
      </c>
      <c r="H166" s="9" t="s">
        <v>119</v>
      </c>
      <c r="I166" s="9">
        <v>6</v>
      </c>
      <c r="J166" s="9" t="s">
        <v>48</v>
      </c>
      <c r="K166" s="9" t="s">
        <v>239</v>
      </c>
      <c r="L166" s="9" t="s">
        <v>241</v>
      </c>
      <c r="M166" s="9" t="s">
        <v>77</v>
      </c>
      <c r="O166" s="9">
        <v>137</v>
      </c>
      <c r="P166" s="9">
        <v>1</v>
      </c>
      <c r="Q166" s="9" t="b">
        <v>0</v>
      </c>
      <c r="R166" s="9" t="b">
        <v>0</v>
      </c>
      <c r="S166" s="9" t="s">
        <v>240</v>
      </c>
    </row>
    <row r="167" spans="7:19" ht="48" x14ac:dyDescent="0.4">
      <c r="G167" s="9" t="s">
        <v>229</v>
      </c>
      <c r="H167" s="9" t="s">
        <v>119</v>
      </c>
      <c r="I167" s="9">
        <v>6</v>
      </c>
      <c r="J167" s="9" t="s">
        <v>48</v>
      </c>
      <c r="K167" s="9" t="s">
        <v>242</v>
      </c>
      <c r="L167" s="9" t="s">
        <v>244</v>
      </c>
      <c r="M167" s="9" t="s">
        <v>226</v>
      </c>
      <c r="O167" s="9">
        <v>143</v>
      </c>
      <c r="P167" s="9">
        <v>1</v>
      </c>
      <c r="Q167" s="9" t="b">
        <v>0</v>
      </c>
      <c r="R167" s="9" t="b">
        <v>0</v>
      </c>
      <c r="S167" s="9" t="s">
        <v>243</v>
      </c>
    </row>
    <row r="168" spans="7:19" ht="36" x14ac:dyDescent="0.4">
      <c r="G168" s="9" t="s">
        <v>229</v>
      </c>
      <c r="H168" s="9" t="s">
        <v>119</v>
      </c>
      <c r="I168" s="9">
        <v>4</v>
      </c>
      <c r="J168" s="9" t="s">
        <v>48</v>
      </c>
      <c r="K168" s="9" t="s">
        <v>245</v>
      </c>
      <c r="L168" s="9" t="s">
        <v>247</v>
      </c>
      <c r="O168" s="9">
        <v>149</v>
      </c>
      <c r="P168" s="9">
        <v>1</v>
      </c>
      <c r="Q168" s="9" t="b">
        <v>0</v>
      </c>
      <c r="R168" s="9" t="b">
        <v>0</v>
      </c>
      <c r="S168" s="9" t="s">
        <v>246</v>
      </c>
    </row>
    <row r="169" spans="7:19" ht="24" x14ac:dyDescent="0.4">
      <c r="G169" s="9" t="s">
        <v>229</v>
      </c>
      <c r="H169" s="9" t="s">
        <v>119</v>
      </c>
      <c r="I169" s="9">
        <v>10</v>
      </c>
      <c r="J169" s="9" t="s">
        <v>48</v>
      </c>
      <c r="K169" s="9" t="s">
        <v>248</v>
      </c>
      <c r="L169" s="9" t="s">
        <v>250</v>
      </c>
      <c r="O169" s="9">
        <v>153</v>
      </c>
      <c r="P169" s="9">
        <v>1</v>
      </c>
      <c r="Q169" s="9" t="b">
        <v>0</v>
      </c>
      <c r="R169" s="9" t="b">
        <v>0</v>
      </c>
      <c r="S169" s="9" t="s">
        <v>249</v>
      </c>
    </row>
    <row r="170" spans="7:19" x14ac:dyDescent="0.4">
      <c r="G170" s="9" t="s">
        <v>229</v>
      </c>
      <c r="H170" s="9" t="s">
        <v>119</v>
      </c>
      <c r="I170" s="9">
        <v>20</v>
      </c>
      <c r="J170" s="9" t="s">
        <v>48</v>
      </c>
      <c r="K170" s="9" t="s">
        <v>251</v>
      </c>
      <c r="L170" s="9" t="s">
        <v>252</v>
      </c>
      <c r="M170" s="9" t="s">
        <v>226</v>
      </c>
      <c r="O170" s="9">
        <v>163</v>
      </c>
      <c r="P170" s="9">
        <v>1</v>
      </c>
      <c r="Q170" s="9" t="b">
        <v>0</v>
      </c>
      <c r="R170" s="9" t="b">
        <v>0</v>
      </c>
      <c r="S170" s="9" t="s">
        <v>349</v>
      </c>
    </row>
    <row r="171" spans="7:19" ht="48" x14ac:dyDescent="0.4">
      <c r="G171" s="9" t="s">
        <v>229</v>
      </c>
      <c r="H171" s="9" t="s">
        <v>119</v>
      </c>
      <c r="I171" s="9">
        <v>7</v>
      </c>
      <c r="J171" s="9" t="s">
        <v>48</v>
      </c>
      <c r="K171" s="9" t="s">
        <v>253</v>
      </c>
      <c r="L171" s="9" t="s">
        <v>401</v>
      </c>
      <c r="M171" s="9" t="s">
        <v>226</v>
      </c>
      <c r="O171" s="9">
        <v>183</v>
      </c>
      <c r="P171" s="9">
        <v>1</v>
      </c>
      <c r="Q171" s="9" t="b">
        <v>0</v>
      </c>
      <c r="R171" s="9" t="b">
        <v>0</v>
      </c>
      <c r="S171" s="9" t="s">
        <v>402</v>
      </c>
    </row>
    <row r="172" spans="7:19" ht="36" x14ac:dyDescent="0.4">
      <c r="G172" s="9" t="s">
        <v>229</v>
      </c>
      <c r="H172" s="9" t="s">
        <v>119</v>
      </c>
      <c r="I172" s="9">
        <v>15</v>
      </c>
      <c r="J172" s="9" t="s">
        <v>48</v>
      </c>
      <c r="K172" s="9" t="s">
        <v>254</v>
      </c>
      <c r="L172" s="9" t="s">
        <v>403</v>
      </c>
      <c r="M172" s="9" t="s">
        <v>226</v>
      </c>
      <c r="O172" s="9">
        <v>190</v>
      </c>
      <c r="P172" s="9">
        <v>1</v>
      </c>
      <c r="Q172" s="9" t="b">
        <v>0</v>
      </c>
      <c r="R172" s="9" t="b">
        <v>0</v>
      </c>
      <c r="S172" s="9" t="s">
        <v>404</v>
      </c>
    </row>
    <row r="173" spans="7:19" ht="24" x14ac:dyDescent="0.4">
      <c r="G173" s="9" t="s">
        <v>229</v>
      </c>
      <c r="H173" s="9" t="s">
        <v>119</v>
      </c>
      <c r="I173" s="9">
        <v>17</v>
      </c>
      <c r="J173" s="9" t="s">
        <v>48</v>
      </c>
      <c r="K173" s="9" t="s">
        <v>255</v>
      </c>
      <c r="L173" s="9" t="s">
        <v>350</v>
      </c>
      <c r="O173" s="9">
        <v>205</v>
      </c>
      <c r="P173" s="9">
        <v>1</v>
      </c>
      <c r="Q173" s="9" t="b">
        <v>0</v>
      </c>
      <c r="R173" s="9" t="b">
        <v>0</v>
      </c>
      <c r="S173" s="9" t="s">
        <v>351</v>
      </c>
    </row>
    <row r="174" spans="7:19" ht="36" x14ac:dyDescent="0.4">
      <c r="G174" s="9" t="s">
        <v>229</v>
      </c>
      <c r="H174" s="9" t="s">
        <v>119</v>
      </c>
      <c r="I174" s="9">
        <v>15</v>
      </c>
      <c r="J174" s="9" t="s">
        <v>48</v>
      </c>
      <c r="K174" s="9" t="s">
        <v>256</v>
      </c>
      <c r="L174" s="9" t="s">
        <v>352</v>
      </c>
      <c r="O174" s="9">
        <v>222</v>
      </c>
      <c r="P174" s="9">
        <v>1</v>
      </c>
      <c r="Q174" s="9" t="b">
        <v>0</v>
      </c>
      <c r="R174" s="9" t="b">
        <v>0</v>
      </c>
      <c r="S174" s="9" t="s">
        <v>353</v>
      </c>
    </row>
    <row r="175" spans="7:19" ht="24" x14ac:dyDescent="0.4">
      <c r="G175" s="9" t="s">
        <v>229</v>
      </c>
      <c r="H175" s="9" t="s">
        <v>119</v>
      </c>
      <c r="I175" s="9">
        <v>18</v>
      </c>
      <c r="J175" s="9" t="s">
        <v>48</v>
      </c>
      <c r="K175" s="9" t="s">
        <v>257</v>
      </c>
      <c r="L175" s="9" t="s">
        <v>350</v>
      </c>
      <c r="O175" s="9">
        <v>237</v>
      </c>
      <c r="P175" s="9">
        <v>1</v>
      </c>
      <c r="Q175" s="9" t="b">
        <v>0</v>
      </c>
      <c r="R175" s="9" t="b">
        <v>0</v>
      </c>
      <c r="S175" s="9" t="s">
        <v>354</v>
      </c>
    </row>
    <row r="176" spans="7:19" x14ac:dyDescent="0.4">
      <c r="G176" s="9" t="s">
        <v>229</v>
      </c>
      <c r="H176" s="9" t="s">
        <v>119</v>
      </c>
      <c r="I176" s="9">
        <v>8</v>
      </c>
      <c r="J176" s="9" t="s">
        <v>48</v>
      </c>
      <c r="K176" s="9" t="s">
        <v>316</v>
      </c>
      <c r="L176" s="9" t="s">
        <v>259</v>
      </c>
      <c r="O176" s="9">
        <v>255</v>
      </c>
      <c r="P176" s="9">
        <v>1</v>
      </c>
      <c r="Q176" s="9" t="b">
        <v>0</v>
      </c>
      <c r="R176" s="9" t="b">
        <v>0</v>
      </c>
      <c r="S176" s="9" t="s">
        <v>317</v>
      </c>
    </row>
    <row r="177" spans="7:19" x14ac:dyDescent="0.4">
      <c r="G177" s="9" t="s">
        <v>229</v>
      </c>
      <c r="H177" s="9" t="s">
        <v>119</v>
      </c>
      <c r="I177" s="9">
        <v>12</v>
      </c>
      <c r="J177" s="9" t="s">
        <v>48</v>
      </c>
      <c r="K177" s="9" t="s">
        <v>372</v>
      </c>
      <c r="L177" s="9" t="s">
        <v>73</v>
      </c>
      <c r="O177" s="9">
        <v>263</v>
      </c>
      <c r="P177" s="9">
        <v>1</v>
      </c>
      <c r="Q177" s="9" t="b">
        <v>0</v>
      </c>
      <c r="R177" s="9" t="b">
        <v>0</v>
      </c>
      <c r="S177" s="9" t="s">
        <v>373</v>
      </c>
    </row>
    <row r="178" spans="7:19" ht="36" x14ac:dyDescent="0.4">
      <c r="G178" s="9" t="s">
        <v>229</v>
      </c>
      <c r="H178" s="9" t="s">
        <v>119</v>
      </c>
      <c r="I178" s="9">
        <v>10</v>
      </c>
      <c r="J178" s="9" t="s">
        <v>48</v>
      </c>
      <c r="K178" s="9" t="s">
        <v>374</v>
      </c>
      <c r="L178" s="9" t="s">
        <v>375</v>
      </c>
      <c r="O178" s="9">
        <v>275</v>
      </c>
      <c r="P178" s="9">
        <v>1</v>
      </c>
      <c r="Q178" s="9" t="b">
        <v>0</v>
      </c>
      <c r="R178" s="9" t="b">
        <v>0</v>
      </c>
      <c r="S178" s="9" t="s">
        <v>376</v>
      </c>
    </row>
    <row r="179" spans="7:19" x14ac:dyDescent="0.4">
      <c r="G179" s="9" t="s">
        <v>229</v>
      </c>
      <c r="H179" s="9" t="s">
        <v>119</v>
      </c>
      <c r="I179" s="9">
        <v>11</v>
      </c>
      <c r="J179" s="9" t="s">
        <v>48</v>
      </c>
      <c r="K179" s="9" t="s">
        <v>377</v>
      </c>
      <c r="L179" s="9" t="s">
        <v>73</v>
      </c>
      <c r="O179" s="9">
        <v>285</v>
      </c>
      <c r="P179" s="9">
        <v>1</v>
      </c>
      <c r="Q179" s="9" t="b">
        <v>0</v>
      </c>
      <c r="R179" s="9" t="b">
        <v>0</v>
      </c>
      <c r="S179" s="9" t="s">
        <v>378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ED904-0A8B-4E30-97B2-FBA93DBE0FCF}">
  <sheetPr codeName="Sheet4"/>
  <dimension ref="A1:L40"/>
  <sheetViews>
    <sheetView topLeftCell="A30" workbookViewId="0">
      <selection activeCell="G3" sqref="B3:L40"/>
    </sheetView>
  </sheetViews>
  <sheetFormatPr defaultRowHeight="18.75" x14ac:dyDescent="0.4"/>
  <cols>
    <col min="1" max="1" width="9.5" bestFit="1" customWidth="1"/>
    <col min="2" max="2" width="7.625" bestFit="1" customWidth="1"/>
    <col min="3" max="3" width="26.75" bestFit="1" customWidth="1"/>
    <col min="4" max="4" width="26.125" bestFit="1" customWidth="1"/>
    <col min="5" max="5" width="26.375" bestFit="1" customWidth="1"/>
    <col min="6" max="6" width="11" bestFit="1" customWidth="1"/>
    <col min="7" max="7" width="13.75" bestFit="1" customWidth="1"/>
    <col min="8" max="8" width="11.375" bestFit="1" customWidth="1"/>
    <col min="9" max="12" width="7.875" bestFit="1" customWidth="1"/>
  </cols>
  <sheetData>
    <row r="1" spans="1:12" x14ac:dyDescent="0.4">
      <c r="A1" t="s">
        <v>555</v>
      </c>
    </row>
    <row r="2" spans="1:12" x14ac:dyDescent="0.4">
      <c r="A2" t="s">
        <v>556</v>
      </c>
      <c r="B2" t="s">
        <v>557</v>
      </c>
      <c r="C2" t="s">
        <v>558</v>
      </c>
      <c r="D2" t="s">
        <v>559</v>
      </c>
      <c r="E2" t="s">
        <v>560</v>
      </c>
      <c r="F2" t="s">
        <v>561</v>
      </c>
      <c r="G2" t="s">
        <v>562</v>
      </c>
      <c r="H2" t="s">
        <v>563</v>
      </c>
      <c r="I2" t="s">
        <v>1</v>
      </c>
      <c r="J2" t="s">
        <v>2</v>
      </c>
      <c r="K2" t="s">
        <v>3</v>
      </c>
      <c r="L2" t="s">
        <v>4</v>
      </c>
    </row>
    <row r="3" spans="1:12" x14ac:dyDescent="0.4">
      <c r="A3" t="str">
        <f>IF(check_[[#This Row],[kind]]="=",IF(check_[[#This Row],[expected]]=check_[[#This Row],[actual]],"pass","fail"),"")</f>
        <v/>
      </c>
      <c r="B3" s="4"/>
      <c r="C3" s="4" t="s">
        <v>564</v>
      </c>
      <c r="D3" s="1">
        <v>9</v>
      </c>
      <c r="E3" s="1">
        <v>9</v>
      </c>
      <c r="F3" t="s">
        <v>5</v>
      </c>
      <c r="G3" s="7" t="s">
        <v>6</v>
      </c>
      <c r="H3">
        <v>5</v>
      </c>
      <c r="I3">
        <v>4</v>
      </c>
      <c r="J3" t="s">
        <v>7</v>
      </c>
    </row>
    <row r="4" spans="1:12" x14ac:dyDescent="0.4">
      <c r="A4" t="str">
        <f>IF(check_[[#This Row],[kind]]="=",IF(check_[[#This Row],[expected]]=check_[[#This Row],[actual]],"pass","fail"),"")</f>
        <v/>
      </c>
      <c r="B4" s="4"/>
      <c r="C4" s="4"/>
      <c r="D4" s="1">
        <v>36</v>
      </c>
      <c r="E4" s="1">
        <v>36</v>
      </c>
      <c r="G4" s="7" t="s">
        <v>6</v>
      </c>
      <c r="H4" t="s">
        <v>8</v>
      </c>
      <c r="I4">
        <v>4</v>
      </c>
      <c r="J4" t="s">
        <v>10</v>
      </c>
    </row>
    <row r="5" spans="1:12" x14ac:dyDescent="0.4">
      <c r="A5" t="str">
        <f>IF(check_[[#This Row],[kind]]="=",IF(check_[[#This Row],[expected]]=check_[[#This Row],[actual]],"pass","fail"),"")</f>
        <v/>
      </c>
      <c r="B5" s="4"/>
      <c r="C5" s="4" t="s">
        <v>565</v>
      </c>
      <c r="D5" s="1">
        <v>4</v>
      </c>
      <c r="E5" s="1">
        <v>4</v>
      </c>
      <c r="F5" t="s">
        <v>23</v>
      </c>
      <c r="G5" s="7" t="s">
        <v>316</v>
      </c>
      <c r="H5">
        <v>4</v>
      </c>
    </row>
    <row r="6" spans="1:12" x14ac:dyDescent="0.4">
      <c r="A6" t="str">
        <f>IF(check_[[#This Row],[kind]]="=",IF(check_[[#This Row],[expected]]=check_[[#This Row],[actual]],"pass","fail"),"")</f>
        <v/>
      </c>
      <c r="B6" s="4"/>
      <c r="C6" s="4"/>
      <c r="D6" s="1">
        <v>4</v>
      </c>
      <c r="E6" s="1">
        <v>4</v>
      </c>
      <c r="G6" s="7" t="s">
        <v>316</v>
      </c>
      <c r="H6" t="s">
        <v>258</v>
      </c>
    </row>
    <row r="7" spans="1:12" ht="37.5" x14ac:dyDescent="0.4">
      <c r="A7" t="str">
        <f>IF(check_[[#This Row],[kind]]="=",IF(check_[[#This Row],[expected]]=check_[[#This Row],[actual]],"pass","fail"),"")</f>
        <v>pass</v>
      </c>
      <c r="B7" s="4" t="s">
        <v>405</v>
      </c>
      <c r="C7" s="6" t="s">
        <v>566</v>
      </c>
      <c r="D7" s="1">
        <v>4</v>
      </c>
      <c r="E7" s="1">
        <v>4</v>
      </c>
      <c r="F7" t="s">
        <v>5</v>
      </c>
      <c r="G7" s="7" t="s">
        <v>316</v>
      </c>
      <c r="H7" t="s">
        <v>258</v>
      </c>
    </row>
    <row r="8" spans="1:12" x14ac:dyDescent="0.4">
      <c r="A8" t="str">
        <f>IF(check_[[#This Row],[kind]]="=",IF(check_[[#This Row],[expected]]=check_[[#This Row],[actual]],"pass","fail"),"")</f>
        <v/>
      </c>
      <c r="B8" s="4"/>
      <c r="C8" s="4"/>
      <c r="D8" s="1">
        <v>4</v>
      </c>
      <c r="E8" s="1">
        <v>4</v>
      </c>
      <c r="G8" s="7" t="s">
        <v>316</v>
      </c>
      <c r="H8" t="s">
        <v>8</v>
      </c>
    </row>
    <row r="9" spans="1:12" x14ac:dyDescent="0.4">
      <c r="A9" t="str">
        <f>IF(check_[[#This Row],[kind]]="=",IF(check_[[#This Row],[expected]]=check_[[#This Row],[actual]],"pass","fail"),"")</f>
        <v/>
      </c>
      <c r="B9" s="4"/>
      <c r="C9" s="4" t="s">
        <v>567</v>
      </c>
      <c r="D9" s="1" t="s">
        <v>263</v>
      </c>
      <c r="E9" s="1" t="s">
        <v>263</v>
      </c>
      <c r="F9" t="s">
        <v>15</v>
      </c>
      <c r="G9" s="7" t="s">
        <v>19</v>
      </c>
      <c r="H9">
        <v>6</v>
      </c>
      <c r="I9">
        <v>-5</v>
      </c>
      <c r="J9">
        <v>3</v>
      </c>
    </row>
    <row r="10" spans="1:12" ht="37.5" x14ac:dyDescent="0.4">
      <c r="A10" t="str">
        <f>IF(check_[[#This Row],[kind]]="=",IF(check_[[#This Row],[expected]]=check_[[#This Row],[actual]],"pass","fail"),"")</f>
        <v>pass</v>
      </c>
      <c r="B10" s="4" t="s">
        <v>405</v>
      </c>
      <c r="C10" s="6" t="s">
        <v>569</v>
      </c>
      <c r="D10" s="1" t="s">
        <v>412</v>
      </c>
      <c r="E10" s="1" t="s">
        <v>568</v>
      </c>
      <c r="F10" t="s">
        <v>20</v>
      </c>
      <c r="G10" s="7" t="s">
        <v>18</v>
      </c>
      <c r="H10" t="s">
        <v>0</v>
      </c>
      <c r="I10" t="s">
        <v>16</v>
      </c>
      <c r="J10">
        <v>5</v>
      </c>
      <c r="K10" t="s">
        <v>9</v>
      </c>
    </row>
    <row r="11" spans="1:12" x14ac:dyDescent="0.4">
      <c r="A11" t="str">
        <f>IF(check_[[#This Row],[kind]]="=",IF(check_[[#This Row],[expected]]=check_[[#This Row],[actual]],"pass","fail"),"")</f>
        <v/>
      </c>
      <c r="B11" s="4"/>
      <c r="C11" s="4"/>
      <c r="D11" s="1" t="s">
        <v>264</v>
      </c>
      <c r="E11" s="1" t="s">
        <v>264</v>
      </c>
      <c r="G11" s="7" t="s">
        <v>12</v>
      </c>
      <c r="H11" t="s">
        <v>5</v>
      </c>
      <c r="I11" t="s">
        <v>23</v>
      </c>
      <c r="J11" t="s">
        <v>24</v>
      </c>
    </row>
    <row r="12" spans="1:12" x14ac:dyDescent="0.4">
      <c r="A12" t="str">
        <f>IF(check_[[#This Row],[kind]]="=",IF(check_[[#This Row],[expected]]=check_[[#This Row],[actual]],"pass","fail"),"")</f>
        <v/>
      </c>
      <c r="B12" s="4"/>
      <c r="C12" s="4"/>
      <c r="D12" s="2" t="s">
        <v>359</v>
      </c>
      <c r="E12" s="2" t="s">
        <v>359</v>
      </c>
      <c r="G12" s="7" t="s">
        <v>358</v>
      </c>
      <c r="H12" t="s">
        <v>5</v>
      </c>
    </row>
    <row r="13" spans="1:12" x14ac:dyDescent="0.4">
      <c r="A13" t="str">
        <f>IF(check_[[#This Row],[kind]]="=",IF(check_[[#This Row],[expected]]=check_[[#This Row],[actual]],"pass","fail"),"")</f>
        <v/>
      </c>
      <c r="B13" s="4"/>
      <c r="C13" s="4" t="s">
        <v>570</v>
      </c>
      <c r="D13" s="1" t="s">
        <v>265</v>
      </c>
      <c r="E13" s="1" t="s">
        <v>265</v>
      </c>
      <c r="F13" t="s">
        <v>26</v>
      </c>
      <c r="G13" s="7" t="s">
        <v>12</v>
      </c>
      <c r="H13">
        <v>2</v>
      </c>
      <c r="I13">
        <v>0</v>
      </c>
      <c r="J13">
        <v>3</v>
      </c>
      <c r="K13">
        <v>1</v>
      </c>
      <c r="L13">
        <v>0</v>
      </c>
    </row>
    <row r="14" spans="1:12" ht="37.5" x14ac:dyDescent="0.4">
      <c r="A14" t="str">
        <f>IF(check_[[#This Row],[kind]]="=",IF(check_[[#This Row],[expected]]=check_[[#This Row],[actual]],"pass","fail"),"")</f>
        <v>pass</v>
      </c>
      <c r="B14" s="5" t="s">
        <v>405</v>
      </c>
      <c r="C14" s="10" t="s">
        <v>571</v>
      </c>
      <c r="D14" s="2" t="s">
        <v>266</v>
      </c>
      <c r="E14" s="2" t="s">
        <v>266</v>
      </c>
      <c r="F14" t="s">
        <v>406</v>
      </c>
      <c r="G14" s="7" t="s">
        <v>29</v>
      </c>
      <c r="H14" t="s">
        <v>27</v>
      </c>
    </row>
    <row r="15" spans="1:12" x14ac:dyDescent="0.4">
      <c r="A15" t="str">
        <f>IF(check_[[#This Row],[kind]]="=",IF(check_[[#This Row],[expected]]=check_[[#This Row],[actual]],"pass","fail"),"")</f>
        <v/>
      </c>
      <c r="B15" s="5"/>
      <c r="C15" s="5" t="s">
        <v>572</v>
      </c>
      <c r="D15" s="2" t="s">
        <v>279</v>
      </c>
      <c r="E15" s="2" t="s">
        <v>279</v>
      </c>
      <c r="F15" t="s">
        <v>277</v>
      </c>
      <c r="G15" s="7" t="s">
        <v>276</v>
      </c>
      <c r="H15" t="s">
        <v>27</v>
      </c>
    </row>
    <row r="16" spans="1:12" x14ac:dyDescent="0.4">
      <c r="A16" t="str">
        <f>IF(check_[[#This Row],[kind]]="=",IF(check_[[#This Row],[expected]]=check_[[#This Row],[actual]],"pass","fail"),"")</f>
        <v/>
      </c>
      <c r="B16" s="5"/>
      <c r="C16" s="5"/>
      <c r="D16" s="2" t="s">
        <v>281</v>
      </c>
      <c r="E16" s="2" t="s">
        <v>281</v>
      </c>
      <c r="G16" s="7" t="s">
        <v>29</v>
      </c>
      <c r="H16" t="s">
        <v>278</v>
      </c>
    </row>
    <row r="17" spans="1:11" x14ac:dyDescent="0.4">
      <c r="A17" t="str">
        <f>IF(check_[[#This Row],[kind]]="=",IF(check_[[#This Row],[expected]]=check_[[#This Row],[actual]],"pass","fail"),"")</f>
        <v/>
      </c>
      <c r="B17" s="5"/>
      <c r="C17" s="5"/>
      <c r="D17" s="2">
        <v>1320</v>
      </c>
      <c r="E17" s="2">
        <v>1320</v>
      </c>
      <c r="G17" s="7" t="s">
        <v>28</v>
      </c>
      <c r="H17">
        <v>-5</v>
      </c>
      <c r="I17" t="s">
        <v>27</v>
      </c>
    </row>
    <row r="18" spans="1:11" x14ac:dyDescent="0.4">
      <c r="A18" t="str">
        <f>IF(check_[[#This Row],[kind]]="=",IF(check_[[#This Row],[expected]]=check_[[#This Row],[actual]],"pass","fail"),"")</f>
        <v/>
      </c>
      <c r="B18" s="4"/>
      <c r="C18" s="4"/>
      <c r="D18" s="1" t="s">
        <v>267</v>
      </c>
      <c r="E18" s="1" t="s">
        <v>267</v>
      </c>
      <c r="G18" s="7" t="s">
        <v>18</v>
      </c>
      <c r="H18" t="s">
        <v>28</v>
      </c>
      <c r="I18" t="s">
        <v>17</v>
      </c>
      <c r="J18" t="s">
        <v>27</v>
      </c>
    </row>
    <row r="19" spans="1:11" x14ac:dyDescent="0.4">
      <c r="A19" t="str">
        <f>IF(check_[[#This Row],[kind]]="=",IF(check_[[#This Row],[expected]]=check_[[#This Row],[actual]],"pass","fail"),"")</f>
        <v/>
      </c>
      <c r="B19" s="4"/>
      <c r="C19" s="4"/>
      <c r="D19" s="1" t="s">
        <v>280</v>
      </c>
      <c r="E19" s="1" t="s">
        <v>280</v>
      </c>
      <c r="G19" s="7" t="s">
        <v>18</v>
      </c>
      <c r="H19" t="s">
        <v>28</v>
      </c>
      <c r="I19" t="s">
        <v>17</v>
      </c>
      <c r="J19" t="s">
        <v>278</v>
      </c>
    </row>
    <row r="20" spans="1:11" x14ac:dyDescent="0.4">
      <c r="A20" t="str">
        <f>IF(check_[[#This Row],[kind]]="=",IF(check_[[#This Row],[expected]]=check_[[#This Row],[actual]],"pass","fail"),"")</f>
        <v/>
      </c>
      <c r="B20" s="4"/>
      <c r="C20" s="4" t="s">
        <v>573</v>
      </c>
      <c r="D20" s="1" t="s">
        <v>268</v>
      </c>
      <c r="E20" s="1" t="s">
        <v>268</v>
      </c>
      <c r="F20" t="s">
        <v>11</v>
      </c>
      <c r="G20" s="7" t="s">
        <v>12</v>
      </c>
      <c r="H20">
        <v>2</v>
      </c>
      <c r="I20">
        <v>3</v>
      </c>
    </row>
    <row r="21" spans="1:11" ht="37.5" x14ac:dyDescent="0.4">
      <c r="A21" t="str">
        <f>IF(check_[[#This Row],[kind]]="=",IF(check_[[#This Row],[expected]]=check_[[#This Row],[actual]],"pass","fail"),"")</f>
        <v/>
      </c>
      <c r="B21" s="6"/>
      <c r="C21" s="6"/>
      <c r="D21" s="3" t="s">
        <v>269</v>
      </c>
      <c r="E21" s="3" t="s">
        <v>269</v>
      </c>
      <c r="G21" s="7" t="s">
        <v>22</v>
      </c>
      <c r="H21" t="s">
        <v>21</v>
      </c>
      <c r="I21" t="s">
        <v>13</v>
      </c>
    </row>
    <row r="22" spans="1:11" x14ac:dyDescent="0.4">
      <c r="A22" t="str">
        <f>IF(check_[[#This Row],[kind]]="=",IF(check_[[#This Row],[expected]]=check_[[#This Row],[actual]],"pass","fail"),"")</f>
        <v/>
      </c>
      <c r="B22" s="4"/>
      <c r="C22" s="4"/>
      <c r="D22" s="1" t="s">
        <v>416</v>
      </c>
      <c r="E22" s="1" t="s">
        <v>574</v>
      </c>
      <c r="G22" s="7" t="s">
        <v>12</v>
      </c>
      <c r="H22" t="s">
        <v>17</v>
      </c>
      <c r="I22" t="s">
        <v>8</v>
      </c>
    </row>
    <row r="23" spans="1:11" x14ac:dyDescent="0.4">
      <c r="A23" t="str">
        <f>IF(check_[[#This Row],[kind]]="=",IF(check_[[#This Row],[expected]]=check_[[#This Row],[actual]],"pass","fail"),"")</f>
        <v/>
      </c>
      <c r="B23" s="4"/>
      <c r="C23" s="4" t="s">
        <v>575</v>
      </c>
      <c r="D23" s="1" t="s">
        <v>270</v>
      </c>
      <c r="E23" s="1" t="s">
        <v>270</v>
      </c>
      <c r="F23" t="s">
        <v>11</v>
      </c>
      <c r="G23" s="7" t="s">
        <v>12</v>
      </c>
      <c r="H23">
        <v>3</v>
      </c>
      <c r="I23">
        <v>5</v>
      </c>
    </row>
    <row r="24" spans="1:11" ht="56.25" x14ac:dyDescent="0.4">
      <c r="A24" t="str">
        <f>IF(check_[[#This Row],[kind]]="=",IF(check_[[#This Row],[expected]]=check_[[#This Row],[actual]],"pass","fail"),"")</f>
        <v/>
      </c>
      <c r="B24" s="6"/>
      <c r="C24" s="6" t="s">
        <v>576</v>
      </c>
      <c r="D24" s="3" t="s">
        <v>271</v>
      </c>
      <c r="E24" s="3" t="s">
        <v>271</v>
      </c>
      <c r="F24" t="s">
        <v>15</v>
      </c>
      <c r="G24" s="7" t="s">
        <v>25</v>
      </c>
      <c r="H24" t="s">
        <v>13</v>
      </c>
      <c r="I24">
        <v>3</v>
      </c>
      <c r="J24">
        <v>5</v>
      </c>
    </row>
    <row r="25" spans="1:11" ht="56.25" x14ac:dyDescent="0.4">
      <c r="A25" t="str">
        <f>IF(check_[[#This Row],[kind]]="=",IF(check_[[#This Row],[expected]]=check_[[#This Row],[actual]],"pass","fail"),"")</f>
        <v/>
      </c>
      <c r="B25" s="6"/>
      <c r="C25" s="6"/>
      <c r="D25" s="3" t="s">
        <v>272</v>
      </c>
      <c r="E25" s="3" t="s">
        <v>272</v>
      </c>
      <c r="G25" s="7" t="s">
        <v>379</v>
      </c>
      <c r="H25" t="s">
        <v>0</v>
      </c>
      <c r="I25" t="s">
        <v>16</v>
      </c>
      <c r="J25">
        <v>5</v>
      </c>
      <c r="K25" t="s">
        <v>9</v>
      </c>
    </row>
    <row r="26" spans="1:11" ht="56.25" x14ac:dyDescent="0.4">
      <c r="A26" t="str">
        <f>IF(check_[[#This Row],[kind]]="=",IF(check_[[#This Row],[expected]]=check_[[#This Row],[actual]],"pass","fail"),"")</f>
        <v/>
      </c>
      <c r="B26" s="6"/>
      <c r="C26" s="6"/>
      <c r="D26" s="3" t="s">
        <v>356</v>
      </c>
      <c r="E26" s="3" t="s">
        <v>356</v>
      </c>
      <c r="G26" s="7" t="s">
        <v>320</v>
      </c>
      <c r="H26" t="s">
        <v>15</v>
      </c>
      <c r="I26" t="s">
        <v>13</v>
      </c>
    </row>
    <row r="27" spans="1:11" ht="56.25" x14ac:dyDescent="0.4">
      <c r="A27" t="str">
        <f>IF(check_[[#This Row],[kind]]="=",IF(check_[[#This Row],[expected]]=check_[[#This Row],[actual]],"pass","fail"),"")</f>
        <v/>
      </c>
      <c r="B27" s="6"/>
      <c r="C27" s="6"/>
      <c r="D27" s="3" t="s">
        <v>357</v>
      </c>
      <c r="E27" s="3" t="s">
        <v>357</v>
      </c>
      <c r="G27" s="7" t="s">
        <v>320</v>
      </c>
      <c r="H27" t="s">
        <v>13</v>
      </c>
      <c r="I27" t="s">
        <v>13</v>
      </c>
    </row>
    <row r="28" spans="1:11" x14ac:dyDescent="0.4">
      <c r="A28" t="str">
        <f>IF(check_[[#This Row],[kind]]="=",IF(check_[[#This Row],[expected]]=check_[[#This Row],[actual]],"pass","fail"),"")</f>
        <v/>
      </c>
      <c r="B28" s="4"/>
      <c r="C28" s="4" t="s">
        <v>577</v>
      </c>
      <c r="D28" s="1" t="s">
        <v>273</v>
      </c>
      <c r="E28" s="1" t="s">
        <v>273</v>
      </c>
      <c r="F28" t="s">
        <v>11</v>
      </c>
      <c r="G28" s="7" t="s">
        <v>12</v>
      </c>
      <c r="H28">
        <v>2</v>
      </c>
      <c r="I28">
        <v>3</v>
      </c>
      <c r="J28">
        <v>4</v>
      </c>
    </row>
    <row r="29" spans="1:11" ht="131.25" x14ac:dyDescent="0.4">
      <c r="A29" t="str">
        <f>IF(check_[[#This Row],[kind]]="=",IF(check_[[#This Row],[expected]]=check_[[#This Row],[actual]],"pass","fail"),"")</f>
        <v/>
      </c>
      <c r="B29" s="6"/>
      <c r="C29" s="6" t="s">
        <v>578</v>
      </c>
      <c r="D29" s="3" t="s">
        <v>274</v>
      </c>
      <c r="E29" s="3" t="s">
        <v>274</v>
      </c>
      <c r="F29" t="s">
        <v>15</v>
      </c>
      <c r="G29" s="7" t="s">
        <v>14</v>
      </c>
      <c r="H29" t="s">
        <v>13</v>
      </c>
    </row>
    <row r="30" spans="1:11" ht="131.25" x14ac:dyDescent="0.4">
      <c r="A30" t="str">
        <f>IF(check_[[#This Row],[kind]]="=",IF(check_[[#This Row],[expected]]=check_[[#This Row],[actual]],"pass","fail"),"")</f>
        <v/>
      </c>
      <c r="B30" s="6"/>
      <c r="C30" s="6"/>
      <c r="D30" s="3" t="s">
        <v>275</v>
      </c>
      <c r="E30" s="3" t="s">
        <v>275</v>
      </c>
      <c r="G30" s="7" t="s">
        <v>379</v>
      </c>
      <c r="H30" t="s">
        <v>6</v>
      </c>
      <c r="I30" t="s">
        <v>17</v>
      </c>
      <c r="J30">
        <v>5</v>
      </c>
      <c r="K30" t="s">
        <v>10</v>
      </c>
    </row>
    <row r="31" spans="1:11" x14ac:dyDescent="0.4">
      <c r="A31" t="str">
        <f>IF(check_[[#This Row],[kind]]="=",IF(check_[[#This Row],[expected]]=check_[[#This Row],[actual]],"pass","fail"),"")</f>
        <v/>
      </c>
      <c r="B31" s="4"/>
      <c r="C31" s="4" t="s">
        <v>579</v>
      </c>
      <c r="D31" s="1">
        <v>0.78539816339744795</v>
      </c>
      <c r="E31" s="1">
        <v>0.78539816339744795</v>
      </c>
      <c r="F31" t="s">
        <v>33</v>
      </c>
      <c r="G31" s="7" t="s">
        <v>30</v>
      </c>
      <c r="H31">
        <v>1</v>
      </c>
      <c r="I31" t="s">
        <v>32</v>
      </c>
    </row>
    <row r="32" spans="1:11" x14ac:dyDescent="0.4">
      <c r="A32" t="str">
        <f>IF(check_[[#This Row],[kind]]="=",IF(check_[[#This Row],[expected]]=check_[[#This Row],[actual]],"pass","fail"),"")</f>
        <v/>
      </c>
      <c r="B32" s="4"/>
      <c r="C32" s="4" t="s">
        <v>580</v>
      </c>
      <c r="D32" s="1">
        <v>3.14159265358979</v>
      </c>
      <c r="E32" s="1">
        <v>3.14159265358979</v>
      </c>
      <c r="F32" t="s">
        <v>413</v>
      </c>
      <c r="G32" s="7" t="s">
        <v>6</v>
      </c>
      <c r="H32" t="s">
        <v>34</v>
      </c>
      <c r="I32">
        <v>4</v>
      </c>
      <c r="J32" t="s">
        <v>10</v>
      </c>
    </row>
    <row r="33" spans="1:11" x14ac:dyDescent="0.4">
      <c r="A33" t="str">
        <f>IF(check_[[#This Row],[kind]]="=",IF(check_[[#This Row],[expected]]=check_[[#This Row],[actual]],"pass","fail"),"")</f>
        <v/>
      </c>
      <c r="B33" s="4"/>
      <c r="C33" s="4"/>
      <c r="D33" s="1">
        <v>0.70710678118654702</v>
      </c>
      <c r="E33" s="1">
        <v>0.70710678118654702</v>
      </c>
      <c r="G33" s="7" t="s">
        <v>30</v>
      </c>
      <c r="H33" t="s">
        <v>34</v>
      </c>
      <c r="I33" t="s">
        <v>31</v>
      </c>
    </row>
    <row r="34" spans="1:11" ht="56.25" x14ac:dyDescent="0.4">
      <c r="A34" t="str">
        <f>IF(check_[[#This Row],[kind]]="=",IF(check_[[#This Row],[expected]]=check_[[#This Row],[actual]],"pass","fail"),"")</f>
        <v>pass</v>
      </c>
      <c r="B34" s="4" t="s">
        <v>405</v>
      </c>
      <c r="C34" s="6" t="s">
        <v>581</v>
      </c>
      <c r="D34" s="1">
        <v>1.4142135623731</v>
      </c>
      <c r="E34" s="1">
        <v>1.4142135623731</v>
      </c>
      <c r="F34" t="s">
        <v>36</v>
      </c>
      <c r="G34" s="7" t="s">
        <v>30</v>
      </c>
      <c r="H34">
        <v>2</v>
      </c>
      <c r="I34" t="s">
        <v>35</v>
      </c>
    </row>
    <row r="35" spans="1:11" x14ac:dyDescent="0.4">
      <c r="A35" t="str">
        <f>IF(check_[[#This Row],[kind]]="=",IF(check_[[#This Row],[expected]]=check_[[#This Row],[actual]],"pass","fail"),"")</f>
        <v/>
      </c>
      <c r="B35" s="4"/>
      <c r="C35" s="4"/>
      <c r="D35" s="1">
        <v>0.70710678118654802</v>
      </c>
      <c r="E35" s="1">
        <v>0.70710678118654802</v>
      </c>
      <c r="G35" s="7" t="s">
        <v>6</v>
      </c>
      <c r="H35" t="s">
        <v>37</v>
      </c>
      <c r="I35">
        <v>2</v>
      </c>
      <c r="J35" t="s">
        <v>38</v>
      </c>
    </row>
    <row r="36" spans="1:11" x14ac:dyDescent="0.4">
      <c r="A36" t="str">
        <f>IF(check_[[#This Row],[kind]]="=",IF(check_[[#This Row],[expected]]=check_[[#This Row],[actual]],"pass","fail"),"")</f>
        <v/>
      </c>
      <c r="B36" s="4"/>
      <c r="C36" s="4" t="s">
        <v>583</v>
      </c>
      <c r="D36" s="1"/>
      <c r="E36" s="1" t="s">
        <v>582</v>
      </c>
      <c r="F36" t="s">
        <v>408</v>
      </c>
      <c r="G36" s="7" t="s">
        <v>407</v>
      </c>
      <c r="H36" t="s">
        <v>5</v>
      </c>
      <c r="I36">
        <v>1</v>
      </c>
      <c r="J36" t="s">
        <v>23</v>
      </c>
      <c r="K36">
        <v>2</v>
      </c>
    </row>
    <row r="37" spans="1:11" x14ac:dyDescent="0.4">
      <c r="A37" t="str">
        <f>IF(check_[[#This Row],[kind]]="=",IF(check_[[#This Row],[expected]]=check_[[#This Row],[actual]],"pass","fail"),"")</f>
        <v/>
      </c>
      <c r="B37" s="4"/>
      <c r="C37" s="4" t="s">
        <v>584</v>
      </c>
      <c r="D37" s="1"/>
      <c r="E37" s="1" t="s">
        <v>582</v>
      </c>
      <c r="F37" t="s">
        <v>409</v>
      </c>
      <c r="G37" s="7" t="s">
        <v>358</v>
      </c>
      <c r="H37" t="s">
        <v>408</v>
      </c>
    </row>
    <row r="38" spans="1:11" x14ac:dyDescent="0.4">
      <c r="A38" t="str">
        <f>IF(check_[[#This Row],[kind]]="=",IF(check_[[#This Row],[expected]]=check_[[#This Row],[actual]],"pass","fail"),"")</f>
        <v/>
      </c>
      <c r="B38" s="4"/>
      <c r="C38" s="4" t="s">
        <v>589</v>
      </c>
      <c r="D38" s="1"/>
      <c r="E38" s="1" t="s">
        <v>587</v>
      </c>
      <c r="F38" t="s">
        <v>411</v>
      </c>
      <c r="G38" s="7" t="s">
        <v>410</v>
      </c>
      <c r="H38">
        <v>1</v>
      </c>
      <c r="I38">
        <v>2</v>
      </c>
      <c r="J38">
        <v>3</v>
      </c>
    </row>
    <row r="39" spans="1:11" ht="37.5" x14ac:dyDescent="0.4">
      <c r="A39" t="str">
        <f>IF(check_[[#This Row],[kind]]="=",IF(check_[[#This Row],[expected]]=check_[[#This Row],[actual]],"pass","fail"),"")</f>
        <v>pass</v>
      </c>
      <c r="B39" s="4" t="s">
        <v>405</v>
      </c>
      <c r="C39" s="6" t="s">
        <v>591</v>
      </c>
      <c r="D39" s="1" t="s">
        <v>588</v>
      </c>
      <c r="E39" s="1" t="s">
        <v>587</v>
      </c>
      <c r="F39" t="s">
        <v>409</v>
      </c>
      <c r="G39" s="7" t="s">
        <v>358</v>
      </c>
      <c r="H39" t="s">
        <v>411</v>
      </c>
    </row>
    <row r="40" spans="1:11" x14ac:dyDescent="0.4">
      <c r="A40" t="str">
        <f>IF(check_[[#This Row],[kind]]="=",IF(check_[[#This Row],[expected]]=check_[[#This Row],[actual]],"pass","fail"),"")</f>
        <v/>
      </c>
      <c r="B40" s="4"/>
      <c r="C40" s="4" t="s">
        <v>586</v>
      </c>
      <c r="D40" s="1"/>
      <c r="E40" s="1" t="s">
        <v>590</v>
      </c>
      <c r="F40" t="s">
        <v>585</v>
      </c>
      <c r="G40" s="7" t="s">
        <v>410</v>
      </c>
      <c r="H40" t="s">
        <v>411</v>
      </c>
      <c r="I40">
        <v>4</v>
      </c>
      <c r="J40" t="s">
        <v>13</v>
      </c>
    </row>
  </sheetData>
  <phoneticPr fontId="1"/>
  <conditionalFormatting sqref="A3:A40">
    <cfRule type="cellIs" dxfId="7" priority="3" stopIfTrue="1" operator="equal">
      <formula>"pass"</formula>
    </cfRule>
    <cfRule type="cellIs" dxfId="6" priority="4" stopIfTrue="1" operator="equal">
      <formula>"fail"</formula>
    </cfRule>
  </conditionalFormatting>
  <conditionalFormatting sqref="B3:C40">
    <cfRule type="cellIs" dxfId="5" priority="1" operator="equal">
      <formula>"fail"</formula>
    </cfRule>
    <cfRule type="cellIs" dxfId="4" priority="2" operator="equal">
      <formula>"pass"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'evalTestTbl(&quot;check&quot;)'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'clearResult(&quot;check&quot;)'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C9D94-CC71-475D-8C4C-93E7C3A395A1}">
  <sheetPr codeName="Sheet3"/>
  <dimension ref="A1:L43"/>
  <sheetViews>
    <sheetView topLeftCell="A2" workbookViewId="0">
      <selection activeCell="E5" sqref="E5"/>
    </sheetView>
  </sheetViews>
  <sheetFormatPr defaultRowHeight="18.75" x14ac:dyDescent="0.4"/>
  <cols>
    <col min="1" max="1" width="9.5" bestFit="1" customWidth="1"/>
    <col min="2" max="2" width="7.625" bestFit="1" customWidth="1"/>
    <col min="3" max="3" width="28.375" bestFit="1" customWidth="1"/>
    <col min="4" max="5" width="43" bestFit="1" customWidth="1"/>
    <col min="6" max="6" width="11" bestFit="1" customWidth="1"/>
    <col min="7" max="7" width="13.75" bestFit="1" customWidth="1"/>
    <col min="8" max="8" width="11.375" bestFit="1" customWidth="1"/>
    <col min="9" max="12" width="7.875" bestFit="1" customWidth="1"/>
  </cols>
  <sheetData>
    <row r="1" spans="1:12" x14ac:dyDescent="0.4">
      <c r="A1" t="s">
        <v>596</v>
      </c>
    </row>
    <row r="2" spans="1:12" x14ac:dyDescent="0.4">
      <c r="A2" t="s">
        <v>556</v>
      </c>
      <c r="B2" t="s">
        <v>557</v>
      </c>
      <c r="C2" t="s">
        <v>558</v>
      </c>
      <c r="D2" t="s">
        <v>559</v>
      </c>
      <c r="E2" t="s">
        <v>560</v>
      </c>
      <c r="F2" t="s">
        <v>561</v>
      </c>
      <c r="G2" t="s">
        <v>562</v>
      </c>
      <c r="H2" t="s">
        <v>563</v>
      </c>
      <c r="I2" t="s">
        <v>1</v>
      </c>
      <c r="J2" t="s">
        <v>2</v>
      </c>
      <c r="K2" t="s">
        <v>3</v>
      </c>
      <c r="L2" t="s">
        <v>4</v>
      </c>
    </row>
    <row r="3" spans="1:12" ht="37.5" x14ac:dyDescent="0.4">
      <c r="A3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3" s="4" t="s">
        <v>601</v>
      </c>
      <c r="C3" s="6" t="s">
        <v>604</v>
      </c>
      <c r="D3" s="1">
        <v>9</v>
      </c>
      <c r="E3" s="1">
        <v>9</v>
      </c>
      <c r="F3" t="s">
        <v>5</v>
      </c>
      <c r="G3" s="7" t="s">
        <v>6</v>
      </c>
      <c r="H3">
        <v>5</v>
      </c>
      <c r="I3">
        <v>4</v>
      </c>
      <c r="J3" t="s">
        <v>7</v>
      </c>
    </row>
    <row r="4" spans="1:12" x14ac:dyDescent="0.4">
      <c r="A4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4" s="4"/>
      <c r="C4" s="4"/>
      <c r="D4" s="1">
        <v>36</v>
      </c>
      <c r="E4" s="1">
        <v>36</v>
      </c>
      <c r="G4" s="7" t="s">
        <v>6</v>
      </c>
      <c r="H4" t="s">
        <v>8</v>
      </c>
      <c r="I4">
        <v>4</v>
      </c>
      <c r="J4" t="s">
        <v>10</v>
      </c>
    </row>
    <row r="5" spans="1:12" x14ac:dyDescent="0.4">
      <c r="A5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5" s="4"/>
      <c r="C5" s="4" t="s">
        <v>565</v>
      </c>
      <c r="D5" s="1">
        <v>4</v>
      </c>
      <c r="E5" s="1">
        <v>4</v>
      </c>
      <c r="F5" t="s">
        <v>23</v>
      </c>
      <c r="G5" s="7" t="s">
        <v>316</v>
      </c>
      <c r="H5">
        <v>4</v>
      </c>
    </row>
    <row r="6" spans="1:12" x14ac:dyDescent="0.4">
      <c r="A6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6" s="4"/>
      <c r="C6" s="4"/>
      <c r="D6" s="1">
        <v>4</v>
      </c>
      <c r="E6" s="1">
        <v>4</v>
      </c>
      <c r="G6" s="7" t="s">
        <v>316</v>
      </c>
      <c r="H6" t="s">
        <v>258</v>
      </c>
    </row>
    <row r="7" spans="1:12" x14ac:dyDescent="0.4">
      <c r="A7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7" s="4"/>
      <c r="C7" s="6" t="s">
        <v>605</v>
      </c>
      <c r="D7" s="1">
        <v>4</v>
      </c>
      <c r="E7" s="1">
        <v>4</v>
      </c>
      <c r="F7" t="s">
        <v>5</v>
      </c>
      <c r="G7" s="7" t="s">
        <v>316</v>
      </c>
      <c r="H7" t="s">
        <v>258</v>
      </c>
    </row>
    <row r="8" spans="1:12" x14ac:dyDescent="0.4">
      <c r="A8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8" s="4"/>
      <c r="C8" s="6" t="s">
        <v>608</v>
      </c>
      <c r="D8" s="1">
        <v>4</v>
      </c>
      <c r="E8" s="1">
        <v>4</v>
      </c>
      <c r="F8" t="s">
        <v>23</v>
      </c>
      <c r="G8" s="7" t="s">
        <v>316</v>
      </c>
      <c r="H8" t="s">
        <v>8</v>
      </c>
    </row>
    <row r="9" spans="1:12" ht="37.5" x14ac:dyDescent="0.4">
      <c r="A9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9" s="4" t="b">
        <v>1</v>
      </c>
      <c r="C9" s="6" t="s">
        <v>606</v>
      </c>
      <c r="D9" s="1"/>
      <c r="E9" s="1" t="b">
        <v>1</v>
      </c>
      <c r="F9" t="s">
        <v>602</v>
      </c>
      <c r="G9" s="7" t="s">
        <v>597</v>
      </c>
      <c r="H9">
        <v>3</v>
      </c>
      <c r="I9">
        <v>4</v>
      </c>
      <c r="J9" t="s">
        <v>598</v>
      </c>
    </row>
    <row r="10" spans="1:12" ht="37.5" x14ac:dyDescent="0.4">
      <c r="A10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10" s="4" t="b">
        <v>0</v>
      </c>
      <c r="C10" s="6" t="s">
        <v>607</v>
      </c>
      <c r="D10" s="1"/>
      <c r="E10" s="1" t="b">
        <v>0</v>
      </c>
      <c r="F10" t="s">
        <v>603</v>
      </c>
      <c r="G10" s="7" t="s">
        <v>597</v>
      </c>
      <c r="H10">
        <v>4</v>
      </c>
      <c r="I10">
        <v>3</v>
      </c>
      <c r="J10" t="s">
        <v>598</v>
      </c>
    </row>
    <row r="11" spans="1:12" x14ac:dyDescent="0.4">
      <c r="A11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1" s="4"/>
      <c r="C11" s="4" t="s">
        <v>567</v>
      </c>
      <c r="D11" s="1" t="s">
        <v>263</v>
      </c>
      <c r="E11" s="1" t="s">
        <v>263</v>
      </c>
      <c r="F11" t="s">
        <v>15</v>
      </c>
      <c r="G11" s="7" t="s">
        <v>19</v>
      </c>
      <c r="H11">
        <v>6</v>
      </c>
      <c r="I11">
        <v>-5</v>
      </c>
      <c r="J11">
        <v>3</v>
      </c>
    </row>
    <row r="12" spans="1:12" ht="37.5" x14ac:dyDescent="0.4">
      <c r="A12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12" s="4" t="s">
        <v>405</v>
      </c>
      <c r="C12" s="6" t="s">
        <v>569</v>
      </c>
      <c r="D12" s="1" t="s">
        <v>412</v>
      </c>
      <c r="E12" s="1" t="s">
        <v>568</v>
      </c>
      <c r="F12" t="s">
        <v>20</v>
      </c>
      <c r="G12" s="7" t="s">
        <v>18</v>
      </c>
      <c r="H12" t="s">
        <v>0</v>
      </c>
      <c r="I12" t="s">
        <v>16</v>
      </c>
      <c r="J12">
        <v>5</v>
      </c>
      <c r="K12" t="s">
        <v>9</v>
      </c>
    </row>
    <row r="13" spans="1:12" x14ac:dyDescent="0.4">
      <c r="A13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3" s="4"/>
      <c r="C13" s="4"/>
      <c r="D13" s="1" t="s">
        <v>264</v>
      </c>
      <c r="E13" s="1" t="s">
        <v>264</v>
      </c>
      <c r="G13" s="7" t="s">
        <v>12</v>
      </c>
      <c r="H13" t="s">
        <v>5</v>
      </c>
      <c r="I13" t="s">
        <v>23</v>
      </c>
      <c r="J13" t="s">
        <v>24</v>
      </c>
    </row>
    <row r="14" spans="1:12" x14ac:dyDescent="0.4">
      <c r="A14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4" s="4"/>
      <c r="C14" s="4"/>
      <c r="D14" s="2" t="s">
        <v>359</v>
      </c>
      <c r="E14" s="2" t="s">
        <v>359</v>
      </c>
      <c r="G14" s="7" t="s">
        <v>358</v>
      </c>
      <c r="H14" t="s">
        <v>5</v>
      </c>
    </row>
    <row r="15" spans="1:12" x14ac:dyDescent="0.4">
      <c r="A15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5" s="4"/>
      <c r="C15" s="4" t="s">
        <v>570</v>
      </c>
      <c r="D15" s="1" t="s">
        <v>265</v>
      </c>
      <c r="E15" s="1" t="s">
        <v>265</v>
      </c>
      <c r="F15" t="s">
        <v>26</v>
      </c>
      <c r="G15" s="7" t="s">
        <v>12</v>
      </c>
      <c r="H15">
        <v>2</v>
      </c>
      <c r="I15">
        <v>0</v>
      </c>
      <c r="J15">
        <v>3</v>
      </c>
      <c r="K15">
        <v>1</v>
      </c>
      <c r="L15">
        <v>0</v>
      </c>
    </row>
    <row r="16" spans="1:12" ht="37.5" x14ac:dyDescent="0.4">
      <c r="A16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16" s="5" t="s">
        <v>405</v>
      </c>
      <c r="C16" s="10" t="s">
        <v>571</v>
      </c>
      <c r="D16" s="2" t="s">
        <v>266</v>
      </c>
      <c r="E16" s="2" t="s">
        <v>266</v>
      </c>
      <c r="F16" t="s">
        <v>406</v>
      </c>
      <c r="G16" s="7" t="s">
        <v>29</v>
      </c>
      <c r="H16" t="s">
        <v>27</v>
      </c>
    </row>
    <row r="17" spans="1:11" x14ac:dyDescent="0.4">
      <c r="A17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7" s="5"/>
      <c r="C17" s="5" t="s">
        <v>572</v>
      </c>
      <c r="D17" s="2" t="s">
        <v>279</v>
      </c>
      <c r="E17" s="2" t="s">
        <v>279</v>
      </c>
      <c r="F17" t="s">
        <v>277</v>
      </c>
      <c r="G17" s="7" t="s">
        <v>276</v>
      </c>
      <c r="H17" t="s">
        <v>27</v>
      </c>
    </row>
    <row r="18" spans="1:11" x14ac:dyDescent="0.4">
      <c r="A18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8" s="5"/>
      <c r="C18" s="5"/>
      <c r="D18" s="2" t="s">
        <v>281</v>
      </c>
      <c r="E18" s="2" t="s">
        <v>281</v>
      </c>
      <c r="G18" s="7" t="s">
        <v>29</v>
      </c>
      <c r="H18" t="s">
        <v>278</v>
      </c>
    </row>
    <row r="19" spans="1:11" x14ac:dyDescent="0.4">
      <c r="A19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9" s="5"/>
      <c r="C19" s="5"/>
      <c r="D19" s="2">
        <v>1320</v>
      </c>
      <c r="E19" s="2">
        <v>1320</v>
      </c>
      <c r="G19" s="7" t="s">
        <v>28</v>
      </c>
      <c r="H19">
        <v>-5</v>
      </c>
      <c r="I19" t="s">
        <v>27</v>
      </c>
    </row>
    <row r="20" spans="1:11" x14ac:dyDescent="0.4">
      <c r="A20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0" s="4"/>
      <c r="C20" s="4"/>
      <c r="D20" s="1" t="s">
        <v>267</v>
      </c>
      <c r="E20" s="1" t="s">
        <v>267</v>
      </c>
      <c r="G20" s="7" t="s">
        <v>18</v>
      </c>
      <c r="H20" t="s">
        <v>28</v>
      </c>
      <c r="I20" t="s">
        <v>17</v>
      </c>
      <c r="J20" t="s">
        <v>27</v>
      </c>
    </row>
    <row r="21" spans="1:11" x14ac:dyDescent="0.4">
      <c r="A21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1" s="4"/>
      <c r="C21" s="4"/>
      <c r="D21" s="1" t="s">
        <v>280</v>
      </c>
      <c r="E21" s="1" t="s">
        <v>280</v>
      </c>
      <c r="G21" s="7" t="s">
        <v>18</v>
      </c>
      <c r="H21" t="s">
        <v>28</v>
      </c>
      <c r="I21" t="s">
        <v>17</v>
      </c>
      <c r="J21" t="s">
        <v>278</v>
      </c>
    </row>
    <row r="22" spans="1:11" x14ac:dyDescent="0.4">
      <c r="A22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2" s="4"/>
      <c r="C22" s="4" t="s">
        <v>573</v>
      </c>
      <c r="D22" s="1" t="s">
        <v>268</v>
      </c>
      <c r="E22" s="1" t="s">
        <v>268</v>
      </c>
      <c r="F22" t="s">
        <v>11</v>
      </c>
      <c r="G22" s="7" t="s">
        <v>12</v>
      </c>
      <c r="H22">
        <v>2</v>
      </c>
      <c r="I22">
        <v>3</v>
      </c>
    </row>
    <row r="23" spans="1:11" ht="37.5" x14ac:dyDescent="0.4">
      <c r="A23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3" s="6"/>
      <c r="C23" s="6"/>
      <c r="D23" s="3" t="s">
        <v>269</v>
      </c>
      <c r="E23" s="3" t="s">
        <v>269</v>
      </c>
      <c r="G23" s="7" t="s">
        <v>22</v>
      </c>
      <c r="H23" t="s">
        <v>21</v>
      </c>
      <c r="I23" t="s">
        <v>13</v>
      </c>
    </row>
    <row r="24" spans="1:11" x14ac:dyDescent="0.4">
      <c r="A24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4" s="4"/>
      <c r="C24" s="4"/>
      <c r="D24" s="1" t="s">
        <v>416</v>
      </c>
      <c r="E24" s="1" t="s">
        <v>574</v>
      </c>
      <c r="G24" s="7" t="s">
        <v>12</v>
      </c>
      <c r="H24" t="s">
        <v>17</v>
      </c>
      <c r="I24" t="s">
        <v>8</v>
      </c>
    </row>
    <row r="25" spans="1:11" x14ac:dyDescent="0.4">
      <c r="A25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5" s="4"/>
      <c r="C25" s="4" t="s">
        <v>575</v>
      </c>
      <c r="D25" s="1" t="s">
        <v>270</v>
      </c>
      <c r="E25" s="1" t="s">
        <v>270</v>
      </c>
      <c r="F25" t="s">
        <v>11</v>
      </c>
      <c r="G25" s="7" t="s">
        <v>12</v>
      </c>
      <c r="H25">
        <v>3</v>
      </c>
      <c r="I25">
        <v>5</v>
      </c>
    </row>
    <row r="26" spans="1:11" ht="56.25" x14ac:dyDescent="0.4">
      <c r="A26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6" s="6"/>
      <c r="C26" s="6" t="s">
        <v>576</v>
      </c>
      <c r="D26" s="3" t="s">
        <v>271</v>
      </c>
      <c r="E26" s="3" t="s">
        <v>271</v>
      </c>
      <c r="F26" t="s">
        <v>15</v>
      </c>
      <c r="G26" s="7" t="s">
        <v>25</v>
      </c>
      <c r="H26" t="s">
        <v>13</v>
      </c>
      <c r="I26">
        <v>3</v>
      </c>
      <c r="J26">
        <v>5</v>
      </c>
    </row>
    <row r="27" spans="1:11" ht="56.25" x14ac:dyDescent="0.4">
      <c r="A27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7" s="6"/>
      <c r="C27" s="6"/>
      <c r="D27" s="3" t="s">
        <v>272</v>
      </c>
      <c r="E27" s="3" t="s">
        <v>272</v>
      </c>
      <c r="G27" s="7" t="s">
        <v>379</v>
      </c>
      <c r="H27" t="s">
        <v>0</v>
      </c>
      <c r="I27" t="s">
        <v>16</v>
      </c>
      <c r="J27">
        <v>5</v>
      </c>
      <c r="K27" t="s">
        <v>9</v>
      </c>
    </row>
    <row r="28" spans="1:11" ht="56.25" x14ac:dyDescent="0.4">
      <c r="A28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8" s="6"/>
      <c r="C28" s="6"/>
      <c r="D28" s="3" t="s">
        <v>356</v>
      </c>
      <c r="E28" s="3" t="s">
        <v>356</v>
      </c>
      <c r="G28" s="7" t="s">
        <v>320</v>
      </c>
      <c r="H28" t="s">
        <v>15</v>
      </c>
      <c r="I28" t="s">
        <v>13</v>
      </c>
    </row>
    <row r="29" spans="1:11" ht="56.25" x14ac:dyDescent="0.4">
      <c r="A29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9" s="6"/>
      <c r="C29" s="6"/>
      <c r="D29" s="3" t="s">
        <v>357</v>
      </c>
      <c r="E29" s="3" t="s">
        <v>357</v>
      </c>
      <c r="G29" s="7" t="s">
        <v>320</v>
      </c>
      <c r="H29" t="s">
        <v>13</v>
      </c>
      <c r="I29" t="s">
        <v>13</v>
      </c>
    </row>
    <row r="30" spans="1:11" x14ac:dyDescent="0.4">
      <c r="A30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0" s="4"/>
      <c r="C30" s="4" t="s">
        <v>577</v>
      </c>
      <c r="D30" s="1" t="s">
        <v>273</v>
      </c>
      <c r="E30" s="1" t="s">
        <v>273</v>
      </c>
      <c r="F30" t="s">
        <v>11</v>
      </c>
      <c r="G30" s="7" t="s">
        <v>12</v>
      </c>
      <c r="H30">
        <v>2</v>
      </c>
      <c r="I30">
        <v>3</v>
      </c>
      <c r="J30">
        <v>4</v>
      </c>
    </row>
    <row r="31" spans="1:11" ht="131.25" x14ac:dyDescent="0.4">
      <c r="A31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1" s="6"/>
      <c r="C31" s="6" t="s">
        <v>578</v>
      </c>
      <c r="D31" s="3" t="s">
        <v>274</v>
      </c>
      <c r="E31" s="3" t="s">
        <v>274</v>
      </c>
      <c r="F31" t="s">
        <v>15</v>
      </c>
      <c r="G31" s="7" t="s">
        <v>14</v>
      </c>
      <c r="H31" t="s">
        <v>13</v>
      </c>
    </row>
    <row r="32" spans="1:11" ht="168.75" x14ac:dyDescent="0.4">
      <c r="A32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32" s="6" t="s">
        <v>600</v>
      </c>
      <c r="C32" s="6" t="s">
        <v>613</v>
      </c>
      <c r="D32" s="3" t="s">
        <v>275</v>
      </c>
      <c r="E32" s="3" t="s">
        <v>275</v>
      </c>
      <c r="F32" t="s">
        <v>20</v>
      </c>
      <c r="G32" s="7" t="s">
        <v>379</v>
      </c>
      <c r="H32" t="s">
        <v>6</v>
      </c>
      <c r="I32" t="s">
        <v>17</v>
      </c>
      <c r="J32">
        <v>5</v>
      </c>
      <c r="K32" t="s">
        <v>10</v>
      </c>
    </row>
    <row r="33" spans="1:11" x14ac:dyDescent="0.4">
      <c r="A33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3" s="4"/>
      <c r="C33" s="4" t="s">
        <v>579</v>
      </c>
      <c r="D33" s="1">
        <v>0.78539816339744795</v>
      </c>
      <c r="E33" s="1">
        <v>0.78539816339744795</v>
      </c>
      <c r="F33" t="s">
        <v>33</v>
      </c>
      <c r="G33" s="7" t="s">
        <v>30</v>
      </c>
      <c r="H33">
        <v>1</v>
      </c>
      <c r="I33" t="s">
        <v>32</v>
      </c>
    </row>
    <row r="34" spans="1:11" x14ac:dyDescent="0.4">
      <c r="A34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4" s="4"/>
      <c r="C34" s="4" t="s">
        <v>580</v>
      </c>
      <c r="D34" s="1">
        <v>3.14159265358979</v>
      </c>
      <c r="E34" s="1">
        <v>3.14159265358979</v>
      </c>
      <c r="F34" t="s">
        <v>413</v>
      </c>
      <c r="G34" s="7" t="s">
        <v>6</v>
      </c>
      <c r="H34" t="s">
        <v>34</v>
      </c>
      <c r="I34">
        <v>4</v>
      </c>
      <c r="J34" t="s">
        <v>10</v>
      </c>
    </row>
    <row r="35" spans="1:11" x14ac:dyDescent="0.4">
      <c r="A35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5" s="4"/>
      <c r="C35" s="4"/>
      <c r="D35" s="1">
        <v>0.70710678118654702</v>
      </c>
      <c r="E35" s="1">
        <v>0.70710678118654702</v>
      </c>
      <c r="G35" s="7" t="s">
        <v>30</v>
      </c>
      <c r="H35" t="s">
        <v>34</v>
      </c>
      <c r="I35" t="s">
        <v>31</v>
      </c>
    </row>
    <row r="36" spans="1:11" ht="56.25" x14ac:dyDescent="0.4">
      <c r="A36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36" s="4" t="s">
        <v>405</v>
      </c>
      <c r="C36" s="6" t="s">
        <v>581</v>
      </c>
      <c r="D36" s="1">
        <v>1.4142135623731</v>
      </c>
      <c r="E36" s="1">
        <v>1.4142135623731</v>
      </c>
      <c r="F36" t="s">
        <v>36</v>
      </c>
      <c r="G36" s="7" t="s">
        <v>30</v>
      </c>
      <c r="H36">
        <v>2</v>
      </c>
      <c r="I36" t="s">
        <v>35</v>
      </c>
    </row>
    <row r="37" spans="1:11" x14ac:dyDescent="0.4">
      <c r="A37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7" s="4"/>
      <c r="C37" s="4"/>
      <c r="D37" s="1">
        <v>0.70710678118654802</v>
      </c>
      <c r="E37" s="1">
        <v>0.70710678118654802</v>
      </c>
      <c r="G37" s="7" t="s">
        <v>6</v>
      </c>
      <c r="H37" t="s">
        <v>37</v>
      </c>
      <c r="I37">
        <v>2</v>
      </c>
      <c r="J37" t="s">
        <v>38</v>
      </c>
    </row>
    <row r="38" spans="1:11" x14ac:dyDescent="0.4">
      <c r="A38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8" s="4"/>
      <c r="C38" s="4" t="s">
        <v>583</v>
      </c>
      <c r="D38" s="1"/>
      <c r="E38" s="1" t="s">
        <v>582</v>
      </c>
      <c r="F38" t="s">
        <v>408</v>
      </c>
      <c r="G38" s="7" t="s">
        <v>407</v>
      </c>
      <c r="H38" t="s">
        <v>5</v>
      </c>
      <c r="I38">
        <v>1</v>
      </c>
      <c r="J38" t="s">
        <v>23</v>
      </c>
      <c r="K38">
        <v>2</v>
      </c>
    </row>
    <row r="39" spans="1:11" ht="56.25" x14ac:dyDescent="0.4">
      <c r="A39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39" s="4" t="s">
        <v>600</v>
      </c>
      <c r="C39" s="6" t="s">
        <v>611</v>
      </c>
      <c r="D39" s="1" t="s">
        <v>587</v>
      </c>
      <c r="E39" s="1" t="s">
        <v>587</v>
      </c>
      <c r="F39" t="s">
        <v>411</v>
      </c>
      <c r="G39" s="7" t="s">
        <v>410</v>
      </c>
      <c r="H39">
        <v>1</v>
      </c>
      <c r="I39">
        <v>2</v>
      </c>
      <c r="J39">
        <v>3</v>
      </c>
    </row>
    <row r="40" spans="1:11" ht="56.25" x14ac:dyDescent="0.4">
      <c r="A40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40" s="4" t="s">
        <v>600</v>
      </c>
      <c r="C40" s="6" t="s">
        <v>609</v>
      </c>
      <c r="D40" s="1" t="s">
        <v>588</v>
      </c>
      <c r="E40" s="1" t="s">
        <v>587</v>
      </c>
      <c r="F40" t="s">
        <v>409</v>
      </c>
      <c r="G40" s="7" t="s">
        <v>358</v>
      </c>
      <c r="H40" t="s">
        <v>411</v>
      </c>
    </row>
    <row r="41" spans="1:11" x14ac:dyDescent="0.4">
      <c r="A41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41" s="4"/>
      <c r="C41" s="4" t="s">
        <v>586</v>
      </c>
      <c r="D41" s="1"/>
      <c r="E41" s="1" t="s">
        <v>590</v>
      </c>
      <c r="F41" t="s">
        <v>585</v>
      </c>
      <c r="G41" s="7" t="s">
        <v>410</v>
      </c>
      <c r="H41" t="s">
        <v>411</v>
      </c>
      <c r="I41">
        <v>4</v>
      </c>
      <c r="J41" t="s">
        <v>13</v>
      </c>
    </row>
    <row r="42" spans="1:11" x14ac:dyDescent="0.4">
      <c r="A42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42" s="4"/>
      <c r="C42" s="4" t="s">
        <v>584</v>
      </c>
      <c r="D42" s="1"/>
      <c r="E42" s="1" t="s">
        <v>582</v>
      </c>
      <c r="F42" t="s">
        <v>409</v>
      </c>
      <c r="G42" s="7" t="s">
        <v>358</v>
      </c>
      <c r="H42" t="s">
        <v>408</v>
      </c>
    </row>
    <row r="43" spans="1:11" ht="112.5" x14ac:dyDescent="0.4">
      <c r="A43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43" s="4" t="s">
        <v>600</v>
      </c>
      <c r="C43" s="6" t="s">
        <v>612</v>
      </c>
      <c r="D43" s="1" t="s">
        <v>610</v>
      </c>
      <c r="E43" s="1" t="s">
        <v>610</v>
      </c>
      <c r="F43" t="s">
        <v>599</v>
      </c>
      <c r="G43" s="7" t="s">
        <v>407</v>
      </c>
      <c r="H43" t="s">
        <v>5</v>
      </c>
      <c r="I43" t="s">
        <v>408</v>
      </c>
      <c r="J43" t="s">
        <v>23</v>
      </c>
      <c r="K43" t="s">
        <v>411</v>
      </c>
    </row>
  </sheetData>
  <phoneticPr fontId="1"/>
  <conditionalFormatting sqref="A3:A43">
    <cfRule type="cellIs" dxfId="3" priority="3" stopIfTrue="1" operator="equal">
      <formula>"pass"</formula>
    </cfRule>
    <cfRule type="cellIs" dxfId="2" priority="4" stopIfTrue="1" operator="equal">
      <formula>"fail"</formula>
    </cfRule>
  </conditionalFormatting>
  <conditionalFormatting sqref="B3:C43">
    <cfRule type="cellIs" dxfId="1" priority="1" operator="equal">
      <formula>"fail"</formula>
    </cfRule>
    <cfRule type="cellIs" dxfId="0" priority="2" operator="equal">
      <formula>"pass"</formula>
    </cfRule>
  </conditionalFormatting>
  <dataValidations count="1">
    <dataValidation type="list" allowBlank="1" showInputMessage="1" showErrorMessage="1" sqref="B3:B43" xr:uid="{646AE649-5564-42F6-96BA-B82E8B0ED342}">
      <formula1>"True,False,=,string"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'evalTestTbl(&quot;checkA&quot;)'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'clearResult(&quot;checkA&quot;)'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Sheet2</vt:lpstr>
      <vt:lpstr>check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mnru</dc:creator>
  <cp:lastModifiedBy>user</cp:lastModifiedBy>
  <dcterms:created xsi:type="dcterms:W3CDTF">2020-01-22T09:41:44Z</dcterms:created>
  <dcterms:modified xsi:type="dcterms:W3CDTF">2020-02-17T09:31:25Z</dcterms:modified>
</cp:coreProperties>
</file>