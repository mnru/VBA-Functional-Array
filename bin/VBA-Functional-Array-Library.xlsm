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\Desktop\vba\VBA-Functional-Array-Library\bin\"/>
    </mc:Choice>
  </mc:AlternateContent>
  <xr:revisionPtr revIDLastSave="0" documentId="13_ncr:1_{30C25515-E3C1-44FF-8762-0B13179F385A}" xr6:coauthVersionLast="45" xr6:coauthVersionMax="45" xr10:uidLastSave="{00000000-0000-0000-0000-000000000000}"/>
  <bookViews>
    <workbookView xWindow="-110" yWindow="-110" windowWidth="19420" windowHeight="11020" activeTab="1" xr2:uid="{F9FDB8B6-EBD3-46F7-8154-33B269A0E26D}"/>
  </bookViews>
  <sheets>
    <sheet name="Sheet6" sheetId="18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</calcChain>
</file>

<file path=xl/sharedStrings.xml><?xml version="1.0" encoding="utf-8"?>
<sst xmlns="http://schemas.openxmlformats.org/spreadsheetml/2006/main" count="1011" uniqueCount="483">
  <si>
    <t>calc</t>
  </si>
  <si>
    <t>mMapA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</si>
  <si>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</si>
  <si>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</si>
  <si>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</si>
  <si>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</si>
  <si>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</si>
  <si>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</si>
  <si>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</si>
  <si>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</si>
  <si>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</si>
  <si>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</si>
  <si>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</si>
  <si>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</si>
  <si>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</si>
  <si>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</si>
  <si>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</si>
  <si>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</si>
  <si>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</si>
  <si>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</si>
  <si>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</si>
  <si>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</si>
  <si>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mMapA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</si>
  <si>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</si>
  <si>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</si>
  <si>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</si>
  <si>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</si>
  <si>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</si>
  <si>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</si>
  <si>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</si>
  <si>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</si>
  <si>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</si>
  <si>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</si>
  <si>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</si>
  <si>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</si>
  <si>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</si>
  <si>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</si>
  <si>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</si>
  <si>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</si>
  <si>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</si>
  <si>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</si>
  <si>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</si>
  <si>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</si>
  <si>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</si>
  <si>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</si>
  <si>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</si>
  <si>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</si>
  <si>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</si>
  <si>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</si>
  <si>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</si>
  <si>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</si>
  <si>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fun/sub</t>
  </si>
  <si>
    <t>def line</t>
  </si>
  <si>
    <t>signature</t>
  </si>
  <si>
    <t>type</t>
  </si>
  <si>
    <t>(property)</t>
  </si>
  <si>
    <t>total lines</t>
  </si>
  <si>
    <t>(declaration)</t>
  </si>
  <si>
    <t>(procedures)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</si>
  <si>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</si>
  <si>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</si>
  <si>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</si>
  <si>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</si>
  <si>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</si>
  <si>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</si>
  <si>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</si>
  <si>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Function getAryAt(ary, pos, Optional base = 1)</t>
  </si>
  <si>
    <t>ary
pos
Optional base = 1</t>
  </si>
  <si>
    <t>setAryAt</t>
  </si>
  <si>
    <t>Sub setAryAt(ByRef ary, pos, vl, Optional base = 1)</t>
  </si>
  <si>
    <t>Sub</t>
  </si>
  <si>
    <t>ByRef ary
pos
vl
Optional base = 1</t>
  </si>
  <si>
    <t>getMAryAt</t>
  </si>
  <si>
    <t>Function getMAryAt(ary, pos, Optional base = 1)</t>
  </si>
  <si>
    <t>setMAryAt</t>
  </si>
  <si>
    <t>Sub setMAryAt(ByRef ary, pos, vl, Optional base = 1)</t>
  </si>
  <si>
    <t>conArys</t>
  </si>
  <si>
    <t>Function conArys(ParamArray argArys())</t>
  </si>
  <si>
    <t>ParamArray argArys()</t>
  </si>
  <si>
    <t>mkSameAry</t>
  </si>
  <si>
    <t>Function mkSameAry(vl, num)</t>
  </si>
  <si>
    <t>vl
num</t>
  </si>
  <si>
    <t>mkSeq</t>
  </si>
  <si>
    <t>Function mkSeq(num, Optional first = 1, Optional step = 1)</t>
  </si>
  <si>
    <t>num
Optional first = 1
Optional step = 1</t>
  </si>
  <si>
    <t>dropAry</t>
  </si>
  <si>
    <t>Function dropAry(ary, num)</t>
  </si>
  <si>
    <t>ary
num</t>
  </si>
  <si>
    <t>takeAry</t>
  </si>
  <si>
    <t>Function takeAry(ary, num)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</si>
  <si>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</si>
  <si>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</si>
  <si>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</si>
  <si>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</si>
  <si>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</si>
  <si>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</si>
  <si>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</si>
  <si>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</si>
  <si>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</si>
  <si>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</si>
  <si>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</si>
  <si>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</si>
  <si>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</si>
  <si>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</si>
  <si>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</si>
  <si>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</si>
  <si>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</si>
  <si>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</si>
  <si>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</si>
  <si>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</si>
  <si>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</si>
  <si>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</si>
  <si>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</si>
  <si>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Function getAryNum(ary)</t>
  </si>
  <si>
    <t>mkIndex</t>
  </si>
  <si>
    <t>Function mkIndex(num, shape, Optional lshape = Null)</t>
  </si>
  <si>
    <t>num
shape
Optional lshape = Null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</si>
  <si>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</si>
  <si>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</si>
  <si>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</si>
  <si>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</si>
  <si>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</si>
  <si>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</si>
  <si>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</si>
  <si>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</si>
  <si>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</si>
  <si>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</si>
  <si>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Function getArySbyM(mAry, Optional bs = 0)</t>
  </si>
  <si>
    <t>mAry
Optional bs = 0</t>
  </si>
  <si>
    <t>reshapeAry</t>
  </si>
  <si>
    <t>Function reshapeAry(ary, sp, Optional bs = 0)</t>
  </si>
  <si>
    <t>ary
sp
Optional bs = 0</t>
  </si>
  <si>
    <t>Function calc(num1, num2, symbol As String)</t>
  </si>
  <si>
    <t>num1
num2
symbol As String</t>
  </si>
  <si>
    <t>calcAry</t>
  </si>
  <si>
    <t>Function calcAry(ary1, ary2, symbol As String)</t>
  </si>
  <si>
    <t>ary1
ary2
symbol As String</t>
  </si>
  <si>
    <t>calcMAry</t>
  </si>
  <si>
    <t>Function calcMAry(ary1, ary2, symbol As String, Optional bs = 0)</t>
  </si>
  <si>
    <t>ary1
ary2
symbol As String
Optional bs = 0</t>
  </si>
  <si>
    <t>mkMAry</t>
  </si>
  <si>
    <t>Function mkMAry(sp, Optional bs = 0)</t>
  </si>
  <si>
    <t>sp
Optional bs = 0</t>
  </si>
  <si>
    <t>l_</t>
  </si>
  <si>
    <t>Function l_(ParamArray argAry() As Variant)</t>
  </si>
  <si>
    <t>ParamArray argAry() As Variant</t>
  </si>
  <si>
    <t>setMArySeq</t>
  </si>
  <si>
    <t>Sub setMArySeq(ary, Optional first = 1, Optional step = 1)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</si>
  <si>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</si>
  <si>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</si>
  <si>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</si>
  <si>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</si>
  <si>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</si>
  <si>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</si>
  <si>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</si>
  <si>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</si>
  <si>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</si>
  <si>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</si>
  <si>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</si>
  <si>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</si>
  <si>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</si>
  <si>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</si>
  <si>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Function mkMArySeq(sp, Optional first = 1, Optional step = 1, Optional bs = 0)</t>
  </si>
  <si>
    <t>sp
Optional first = 1
Optional step = 1
Optional bs = 0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</si>
  <si>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</si>
  <si>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</si>
  <si>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</si>
  <si>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</si>
  <si>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</si>
  <si>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</si>
  <si>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</si>
  <si>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</si>
  <si>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evalTblRow</t>
  </si>
  <si>
    <t>Function evalTblRow(ary, fncl)</t>
  </si>
  <si>
    <t>ary
fncl</t>
  </si>
  <si>
    <t>getVar</t>
  </si>
  <si>
    <t>Function getVar(str)</t>
  </si>
  <si>
    <t>str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</si>
  <si>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</si>
  <si>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</si>
  <si>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</si>
  <si>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</si>
  <si>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</si>
  <si>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</si>
  <si>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</si>
  <si>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</si>
  <si>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</si>
  <si>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</si>
  <si>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</si>
  <si>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</si>
  <si>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</si>
  <si>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</si>
  <si>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</si>
  <si>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</si>
  <si>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</si>
  <si>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</si>
  <si>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</si>
  <si>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</si>
  <si>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</si>
  <si>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</si>
  <si>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</si>
  <si>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</si>
  <si>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</si>
  <si>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</si>
  <si>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</si>
  <si>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</si>
  <si>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</si>
  <si>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</si>
  <si>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</si>
  <si>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Public Function mMapA(fnc As String, mAry As Variant, ParamArray argAry() As Variant) As Variant</t>
  </si>
  <si>
    <t>fnc As String
mAry As Variant
ParamArray argAry() As Variant</t>
  </si>
  <si>
    <t>filterA</t>
  </si>
  <si>
    <t>Public Function filterA(fnc As String, seq As Variant, ParamArray argAry() As Variant) As Variant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</si>
  <si>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</si>
  <si>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</si>
  <si>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</si>
  <si>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</si>
  <si>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</si>
  <si>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</si>
  <si>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</si>
  <si>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</si>
  <si>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</si>
  <si>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</si>
  <si>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</si>
  <si>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</si>
  <si>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</si>
  <si>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</si>
  <si>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</si>
  <si>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</si>
  <si>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</si>
  <si>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</si>
  <si>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</si>
  <si>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</si>
  <si>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</si>
  <si>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</si>
  <si>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</si>
  <si>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</si>
  <si>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</si>
  <si>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</si>
  <si>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</si>
  <si>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</si>
  <si>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</si>
  <si>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</si>
  <si>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</si>
  <si>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</si>
  <si>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</si>
  <si>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</si>
  <si>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Function takeWhile(fnc, ary, direction, ParamArray argAry())</t>
  </si>
  <si>
    <t>fnc
ary
direction
ParamArray argAry()</t>
  </si>
  <si>
    <t>dropWhile</t>
  </si>
  <si>
    <t>Function dropWhile(fnc, ary, direction, ParamArray argAry())</t>
  </si>
  <si>
    <t>modLog</t>
  </si>
  <si>
    <t>outPut</t>
  </si>
  <si>
    <t>Sub outPut(Optional msg = "", Optional crlf As Boolean = True)</t>
  </si>
  <si>
    <t>Optional msg = ""
Optional crlf As Boolean = True</t>
  </si>
  <si>
    <t>printAry</t>
  </si>
  <si>
    <t>Sub printAry(ary, Optional qt = True, Optional fm = "", Optional lcr = "r", Optional width = 0)</t>
  </si>
  <si>
    <t>ary
Optional qt = True
Optional fm = ""
Optional lcr = "r"
Optional width = 0</t>
  </si>
  <si>
    <t>printSimpleAry</t>
  </si>
  <si>
    <t>Sub printSimpleAry(ary, Optional flush = 1000)</t>
  </si>
  <si>
    <t>ary
Optional flush = 1000</t>
  </si>
  <si>
    <t>print1DAry</t>
  </si>
  <si>
    <t>Sub print1DAry(ary, Optional flush = 1000)</t>
  </si>
  <si>
    <t>print2DAry</t>
  </si>
  <si>
    <t>Sub print2DAry(ary, Optional flush = 1000)</t>
  </si>
  <si>
    <t>print3DAry</t>
  </si>
  <si>
    <t>Sub print3DAry(ary, Optional flush = 1000)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</si>
  <si>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</si>
  <si>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</si>
  <si>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</si>
  <si>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</si>
  <si>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</si>
  <si>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Public Function TLookup(key, tbl As String, targetCol As String, Optional sourceCol As String = "", Optional otherwise = Null) As Variant</t>
  </si>
  <si>
    <t>key
tbl As String
targetCol As String
Optional sourceCol As String = ""
Optional otherwise = Null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</si>
  <si>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</si>
  <si>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</si>
  <si>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</si>
  <si>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</si>
  <si>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</si>
  <si>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</si>
  <si>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</si>
  <si>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</si>
  <si>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</si>
  <si>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</si>
  <si>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</si>
  <si>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</si>
  <si>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</si>
  <si>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</si>
  <si>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</si>
  <si>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</si>
  <si>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</si>
  <si>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</si>
  <si>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</si>
  <si>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</si>
  <si>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</si>
  <si>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</si>
  <si>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</si>
  <si>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</si>
  <si>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</si>
  <si>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</si>
  <si>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</si>
  <si>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</si>
  <si>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</si>
  <si>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</si>
  <si>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</si>
  <si>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</si>
  <si>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</si>
  <si>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</si>
  <si>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</si>
  <si>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</si>
  <si>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</si>
  <si>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</si>
  <si>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</si>
  <si>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</si>
  <si>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</si>
  <si>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</si>
  <si>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</si>
  <si>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</si>
  <si>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</si>
  <si>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</si>
  <si>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</si>
  <si>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</si>
  <si>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</si>
  <si>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</si>
  <si>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</si>
  <si>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</si>
  <si>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</si>
  <si>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</si>
  <si>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</si>
  <si>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</si>
  <si>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</si>
  <si>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</si>
  <si>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</si>
  <si>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</si>
  <si>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</si>
  <si>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</si>
  <si>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</si>
  <si>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</si>
  <si>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</si>
  <si>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</si>
  <si>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</si>
  <si>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</si>
  <si>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</si>
  <si>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</si>
  <si>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</si>
  <si>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</si>
  <si>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</si>
  <si>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</si>
  <si>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</si>
  <si>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</si>
  <si>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</si>
  <si>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</si>
  <si>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</si>
  <si>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</si>
  <si>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</si>
  <si>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testmMapA</t>
  </si>
  <si>
    <t>Sub testmMapA()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</si>
  <si>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</si>
  <si>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</si>
  <si>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</si>
  <si>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</si>
  <si>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</si>
  <si>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</si>
  <si>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</si>
  <si>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</si>
  <si>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</si>
  <si>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</si>
  <si>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</si>
  <si>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Function mk2DSeq1(r, c, Optional first = 1, Optional step = 1, Optional bs = 0)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</si>
  <si>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</si>
  <si>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</si>
  <si>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</si>
  <si>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</si>
  <si>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</si>
  <si>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</si>
  <si>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</si>
  <si>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</si>
  <si>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</si>
  <si>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</si>
  <si>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</si>
  <si>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</si>
  <si>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</si>
  <si>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</si>
  <si>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</si>
  <si>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</si>
  <si>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modTmp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</si>
  <si>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</si>
  <si>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</si>
  <si>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</si>
  <si>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</si>
  <si>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Function getFileByDialog(Optional dialogType As MsoFileDialogType = 4, Optional title As String = "", Optional initFolder As String = "", Optional initialFile As String = "", Optional extentions As String = "all files,*.*", Optional multiSelect As Boolean = False)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</si>
  <si>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</si>
  <si>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</si>
  <si>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</si>
  <si>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</si>
  <si>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</si>
  <si>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</si>
  <si>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</si>
  <si>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</si>
  <si>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Function toString(elm, Optional qt = True, Optional fm = "", Optional lcr = "r", Optional width = 0, Optional insheet As Boolean = False) As String</t>
  </si>
  <si>
    <t>elm
Optional qt = True
Optional fm = ""
Optional lcr = "r"
Optional width = 0
Optional insheet As Boolean = False</t>
  </si>
  <si>
    <t>getDlm</t>
  </si>
  <si>
    <t>Function getDlm(shape, idx, Optional insheet As Boolean = False)</t>
  </si>
  <si>
    <t>shape
idx
Optional insheet As Boolean = False</t>
  </si>
  <si>
    <t>secToHMS</t>
  </si>
  <si>
    <t>Function secToHMS(vl As Double)</t>
  </si>
  <si>
    <t>vl As Double</t>
  </si>
  <si>
    <t>clcToAry</t>
  </si>
  <si>
    <t>Function clcToAry(clc As Collection)</t>
  </si>
  <si>
    <t>clc As Collection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</si>
  <si>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</si>
  <si>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</si>
  <si>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</si>
  <si>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</si>
  <si>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</si>
  <si>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</si>
  <si>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</si>
  <si>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</si>
  <si>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</si>
  <si>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</si>
  <si>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</si>
  <si>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</si>
  <si>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</si>
  <si>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</si>
  <si>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</si>
  <si>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Function polyStr(polyAry)</t>
  </si>
  <si>
    <t>polyAry</t>
  </si>
  <si>
    <t>fmt</t>
  </si>
  <si>
    <t>Function fmt(expr, Optional fm = "", Optional lcr = "r", Optional width = 0)</t>
  </si>
  <si>
    <t>expr
Optional fm = ""
Optional lcr = "r"
Optional width = 0</t>
  </si>
  <si>
    <t>align</t>
  </si>
  <si>
    <t>Function align(str, Optional lcr = "r", Optional width = 0)</t>
  </si>
  <si>
    <t>str
Optional lcr = "r"
Optional width = 0</t>
  </si>
  <si>
    <t>math</t>
  </si>
  <si>
    <t>Function math(x, symbol)</t>
  </si>
  <si>
    <t>x
symbol</t>
  </si>
  <si>
    <t>comp</t>
  </si>
  <si>
    <t>Function comp(x, y, symbol)</t>
  </si>
  <si>
    <t>x
y
symbol</t>
  </si>
  <si>
    <t>info</t>
  </si>
  <si>
    <t>Function info(x, symbol)</t>
  </si>
  <si>
    <t>id</t>
    <phoneticPr fontId="1"/>
  </si>
  <si>
    <t>b</t>
    <phoneticPr fontId="1"/>
  </si>
  <si>
    <t>_b</t>
    <phoneticPr fontId="1"/>
  </si>
  <si>
    <t>a</t>
    <phoneticPr fontId="1"/>
  </si>
  <si>
    <t>_a</t>
    <phoneticPr fontId="1"/>
  </si>
  <si>
    <t>Optional dialogType As MsoFileDialogType = 4
Optional title As String = ""
Optional initFolder As String = ""
Optional initialFile As String = ""
Optional extentions As String = "all files,*.*"
Optional multiSelect As Boolean = False</t>
  </si>
  <si>
    <t>id</t>
  </si>
  <si>
    <t>Function id(x)</t>
  </si>
  <si>
    <t>x</t>
  </si>
  <si>
    <t>proc</t>
  </si>
  <si>
    <t>arg</t>
  </si>
  <si>
    <t>return type</t>
  </si>
  <si>
    <t>(type)</t>
  </si>
  <si>
    <t>name</t>
  </si>
  <si>
    <t>[-5,-2,1,4,7,10]</t>
  </si>
  <si>
    <t>[-25,-10,5,20,35,50]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</si>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</sst>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1">
    <cellStyle name="標準" xfId="0" builtinId="0"/>
  </cellStyles>
  <dxfs count="25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753F627-A389-473D-96CC-2F7798A7BA3C}" name="テーブル11" displayName="テーブル11" ref="A3:G12" totalsRowShown="0" headerRowDxfId="24" dataDxfId="23">
  <autoFilter ref="A3:G12" xr:uid="{61B6F5A6-BAE1-4D6E-AAC9-70625BAAA20A}"/>
  <tableColumns count="7">
    <tableColumn id="1" xr3:uid="{CD67BAB4-2FFF-4961-9D93-2B5B5C8FAB14}" name="module" dataDxfId="22"/>
    <tableColumn id="2" xr3:uid="{439C9E76-28CB-4658-8302-6F8E2E956B60}" name="type" dataDxfId="21"/>
    <tableColumn id="3" xr3:uid="{E4DC94E1-E15B-4830-9428-48CC34856AEA}" name="fun/sub" dataDxfId="20"/>
    <tableColumn id="4" xr3:uid="{CBD279E2-48C6-42D4-9F37-EFF52939E1B2}" name="(property)" dataDxfId="19"/>
    <tableColumn id="5" xr3:uid="{926C7143-8A34-44AE-8DC0-48B0393B7427}" name="total lines" dataDxfId="18"/>
    <tableColumn id="6" xr3:uid="{38D9EDF6-ACE4-47F6-9B7D-DF62F266CD31}" name="(declaration)" dataDxfId="17"/>
    <tableColumn id="7" xr3:uid="{DA0CBAA3-E559-4E01-944A-9A6853BC9A3B}" name="(procedures)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F2D13AC-67BA-45A1-BFF9-D87B52743A30}" name="テーブル12" displayName="テーブル12" ref="I3:O150" totalsRowShown="0" headerRowDxfId="15" dataDxfId="14">
  <autoFilter ref="I3:O150" xr:uid="{FD632E73-EB02-4344-93F2-38B3AFDA7E3A}"/>
  <tableColumns count="7">
    <tableColumn id="1" xr3:uid="{CCA01581-A1D7-4499-BAA1-C427E91ACCA4}" name="module" dataDxfId="13"/>
    <tableColumn id="2" xr3:uid="{45D175BC-64A2-4FF2-A6B7-80FBAEDEEC29}" name="(type)" dataDxfId="12"/>
    <tableColumn id="3" xr3:uid="{671AFDBB-B845-4755-B1DF-965E41C49166}" name="lines" dataDxfId="11"/>
    <tableColumn id="4" xr3:uid="{F1E934A5-791A-4E8A-9B64-0927E36D4CCF}" name="proc" dataDxfId="10"/>
    <tableColumn id="5" xr3:uid="{D3DF43DE-2D59-419F-88B5-D4457310264F}" name="name" dataDxfId="9"/>
    <tableColumn id="6" xr3:uid="{0F774FB6-E021-4B41-B7E3-AC106CB561B0}" name="arg" dataDxfId="8"/>
    <tableColumn id="7" xr3:uid="{892A17D6-61FB-44E2-BDDF-6A6A49D70039}" name="return type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J32" totalsRowShown="0" headerRowDxfId="4">
  <autoFilter ref="A2:J32" xr:uid="{1A87B2F5-D044-478A-ADA6-C5DFD292001E}"/>
  <tableColumns count="10">
    <tableColumn id="10" xr3:uid="{166C4046-DD29-48A5-9E07-7C3F32E06038}" name="assert" dataDxfId="3">
      <calculatedColumnFormula>IF(check[[#This Row],[expected]]=check[[#This Row],[actual]],"pass","fail")</calculatedColumnFormula>
    </tableColumn>
    <tableColumn id="13" xr3:uid="{C4C39A97-7B51-4963-B3C4-9D1B9BF2C667}" name="expected" dataDxfId="2"/>
    <tableColumn id="2" xr3:uid="{2F9FDBC3-321B-48BF-BAAC-2893772CB040}" name="actual" dataDxfId="1"/>
    <tableColumn id="3" xr3:uid="{53FC929E-8D10-4180-8FEC-5EE845856D6F}" name="variable"/>
    <tableColumn id="4" xr3:uid="{E97D9744-E8F6-4AA8-B1CF-F48518038382}" name="function" dataDxfId="0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FFE8F-F9E5-4980-8334-7B46FE4DFB41}">
  <sheetPr codeName="Sheet7"/>
  <dimension ref="A1:U150"/>
  <sheetViews>
    <sheetView zoomScale="80" zoomScaleNormal="80" workbookViewId="0">
      <pane ySplit="3" topLeftCell="A4" activePane="bottomLeft" state="frozen"/>
      <selection activeCell="E1" sqref="E1"/>
      <selection pane="bottomLeft" activeCell="A2" sqref="A2"/>
    </sheetView>
  </sheetViews>
  <sheetFormatPr defaultRowHeight="18" x14ac:dyDescent="0.55000000000000004"/>
  <cols>
    <col min="1" max="1" width="32.5" style="9" bestFit="1" customWidth="1"/>
    <col min="2" max="2" width="6.4140625" style="9" customWidth="1"/>
    <col min="3" max="3" width="9.75" style="9" customWidth="1"/>
    <col min="4" max="4" width="11.58203125" style="9" customWidth="1"/>
    <col min="5" max="5" width="11.33203125" style="9" customWidth="1"/>
    <col min="6" max="6" width="14.1640625" style="9" customWidth="1"/>
    <col min="7" max="7" width="14.25" style="9" customWidth="1"/>
    <col min="8" max="8" width="8.6640625" style="9"/>
    <col min="9" max="9" width="10.08203125" style="9" bestFit="1" customWidth="1"/>
    <col min="10" max="10" width="7.9140625" style="9" customWidth="1"/>
    <col min="11" max="11" width="6.83203125" style="9" customWidth="1"/>
    <col min="12" max="12" width="14.75" style="9" bestFit="1" customWidth="1"/>
    <col min="13" max="13" width="19.58203125" style="9" bestFit="1" customWidth="1"/>
    <col min="14" max="14" width="42.9140625" style="9" bestFit="1" customWidth="1"/>
    <col min="15" max="15" width="12.5" style="9" customWidth="1"/>
    <col min="16" max="16" width="8.6640625" style="9"/>
    <col min="17" max="17" width="7.5" style="9" bestFit="1" customWidth="1"/>
    <col min="18" max="18" width="5.1640625" style="9" bestFit="1" customWidth="1"/>
    <col min="19" max="19" width="9" style="9" bestFit="1" customWidth="1"/>
    <col min="20" max="20" width="6.83203125" style="9" bestFit="1" customWidth="1"/>
    <col min="21" max="21" width="233" style="9" bestFit="1" customWidth="1"/>
    <col min="22" max="16384" width="8.6640625" style="9"/>
  </cols>
  <sheetData>
    <row r="1" spans="1:21" x14ac:dyDescent="0.55000000000000004">
      <c r="A1" s="10" t="s">
        <v>48</v>
      </c>
    </row>
    <row r="3" spans="1:21" x14ac:dyDescent="0.55000000000000004">
      <c r="A3" s="9" t="s">
        <v>49</v>
      </c>
      <c r="B3" s="9" t="s">
        <v>54</v>
      </c>
      <c r="C3" s="9" t="s">
        <v>51</v>
      </c>
      <c r="D3" s="9" t="s">
        <v>55</v>
      </c>
      <c r="E3" s="9" t="s">
        <v>56</v>
      </c>
      <c r="F3" s="9" t="s">
        <v>57</v>
      </c>
      <c r="G3" s="9" t="s">
        <v>58</v>
      </c>
      <c r="I3" s="9" t="s">
        <v>49</v>
      </c>
      <c r="J3" s="9" t="s">
        <v>453</v>
      </c>
      <c r="K3" s="9" t="s">
        <v>50</v>
      </c>
      <c r="L3" s="9" t="s">
        <v>450</v>
      </c>
      <c r="M3" s="9" t="s">
        <v>454</v>
      </c>
      <c r="N3" s="9" t="s">
        <v>451</v>
      </c>
      <c r="O3" s="9" t="s">
        <v>452</v>
      </c>
      <c r="Q3" s="9" t="s">
        <v>52</v>
      </c>
      <c r="R3" s="9" t="s">
        <v>50</v>
      </c>
      <c r="S3" s="9" t="s">
        <v>481</v>
      </c>
      <c r="T3" s="9" t="s">
        <v>482</v>
      </c>
      <c r="U3" s="9" t="s">
        <v>53</v>
      </c>
    </row>
    <row r="4" spans="1:21" ht="36" x14ac:dyDescent="0.55000000000000004">
      <c r="A4" s="9" t="s">
        <v>59</v>
      </c>
      <c r="B4" s="9" t="s">
        <v>164</v>
      </c>
      <c r="C4" s="9">
        <v>36</v>
      </c>
      <c r="D4" s="9">
        <v>0</v>
      </c>
      <c r="E4" s="9">
        <v>612</v>
      </c>
      <c r="F4" s="9">
        <v>1</v>
      </c>
      <c r="G4" s="9">
        <v>611</v>
      </c>
      <c r="I4" s="9" t="s">
        <v>59</v>
      </c>
      <c r="J4" s="9" t="s">
        <v>164</v>
      </c>
      <c r="K4" s="9">
        <v>4</v>
      </c>
      <c r="L4" s="9" t="s">
        <v>62</v>
      </c>
      <c r="M4" s="9" t="s">
        <v>60</v>
      </c>
      <c r="N4" s="9" t="s">
        <v>63</v>
      </c>
      <c r="O4" s="9" t="s">
        <v>64</v>
      </c>
      <c r="Q4" s="9">
        <v>3</v>
      </c>
      <c r="R4" s="9">
        <v>1</v>
      </c>
      <c r="S4" s="9" t="b">
        <v>0</v>
      </c>
      <c r="T4" s="9" t="b">
        <v>0</v>
      </c>
      <c r="U4" s="9" t="s">
        <v>61</v>
      </c>
    </row>
    <row r="5" spans="1:21" ht="54" x14ac:dyDescent="0.55000000000000004">
      <c r="A5" s="9" t="s">
        <v>165</v>
      </c>
      <c r="B5" s="9" t="s">
        <v>164</v>
      </c>
      <c r="C5" s="9">
        <v>7</v>
      </c>
      <c r="D5" s="9">
        <v>0</v>
      </c>
      <c r="E5" s="9">
        <v>82</v>
      </c>
      <c r="F5" s="9">
        <v>0</v>
      </c>
      <c r="G5" s="9">
        <v>82</v>
      </c>
      <c r="I5" s="9" t="s">
        <v>59</v>
      </c>
      <c r="J5" s="9" t="s">
        <v>164</v>
      </c>
      <c r="K5" s="9">
        <v>11</v>
      </c>
      <c r="L5" s="9" t="s">
        <v>62</v>
      </c>
      <c r="M5" s="9" t="s">
        <v>65</v>
      </c>
      <c r="N5" s="9" t="s">
        <v>67</v>
      </c>
      <c r="Q5" s="9">
        <v>7</v>
      </c>
      <c r="R5" s="9">
        <v>1</v>
      </c>
      <c r="S5" s="9" t="b">
        <v>0</v>
      </c>
      <c r="T5" s="9" t="b">
        <v>0</v>
      </c>
      <c r="U5" s="9" t="s">
        <v>66</v>
      </c>
    </row>
    <row r="6" spans="1:21" ht="72" x14ac:dyDescent="0.55000000000000004">
      <c r="A6" s="9" t="s">
        <v>184</v>
      </c>
      <c r="B6" s="9" t="s">
        <v>164</v>
      </c>
      <c r="C6" s="9">
        <v>7</v>
      </c>
      <c r="D6" s="9">
        <v>0</v>
      </c>
      <c r="E6" s="9">
        <v>85</v>
      </c>
      <c r="F6" s="9">
        <v>0</v>
      </c>
      <c r="G6" s="9">
        <v>85</v>
      </c>
      <c r="I6" s="9" t="s">
        <v>59</v>
      </c>
      <c r="J6" s="9" t="s">
        <v>164</v>
      </c>
      <c r="K6" s="9">
        <v>9</v>
      </c>
      <c r="L6" s="9" t="s">
        <v>70</v>
      </c>
      <c r="M6" s="9" t="s">
        <v>68</v>
      </c>
      <c r="N6" s="9" t="s">
        <v>71</v>
      </c>
      <c r="Q6" s="9">
        <v>18</v>
      </c>
      <c r="R6" s="9">
        <v>1</v>
      </c>
      <c r="S6" s="9" t="b">
        <v>0</v>
      </c>
      <c r="T6" s="9" t="b">
        <v>0</v>
      </c>
      <c r="U6" s="9" t="s">
        <v>69</v>
      </c>
    </row>
    <row r="7" spans="1:21" ht="54" x14ac:dyDescent="0.55000000000000004">
      <c r="A7" s="9" t="s">
        <v>201</v>
      </c>
      <c r="B7" s="9" t="s">
        <v>164</v>
      </c>
      <c r="C7" s="9">
        <v>18</v>
      </c>
      <c r="D7" s="9">
        <v>0</v>
      </c>
      <c r="E7" s="9">
        <v>245</v>
      </c>
      <c r="F7" s="9">
        <v>0</v>
      </c>
      <c r="G7" s="9">
        <v>245</v>
      </c>
      <c r="I7" s="9" t="s">
        <v>59</v>
      </c>
      <c r="J7" s="9" t="s">
        <v>164</v>
      </c>
      <c r="K7" s="9">
        <v>10</v>
      </c>
      <c r="L7" s="9" t="s">
        <v>62</v>
      </c>
      <c r="M7" s="9" t="s">
        <v>72</v>
      </c>
      <c r="N7" s="9" t="s">
        <v>67</v>
      </c>
      <c r="Q7" s="9">
        <v>27</v>
      </c>
      <c r="R7" s="9">
        <v>1</v>
      </c>
      <c r="S7" s="9" t="b">
        <v>0</v>
      </c>
      <c r="T7" s="9" t="b">
        <v>0</v>
      </c>
      <c r="U7" s="9" t="s">
        <v>73</v>
      </c>
    </row>
    <row r="8" spans="1:21" ht="72" x14ac:dyDescent="0.55000000000000004">
      <c r="A8" s="9" t="s">
        <v>251</v>
      </c>
      <c r="B8" s="9" t="s">
        <v>164</v>
      </c>
      <c r="C8" s="9">
        <v>7</v>
      </c>
      <c r="D8" s="9">
        <v>0</v>
      </c>
      <c r="E8" s="9">
        <v>130</v>
      </c>
      <c r="F8" s="9">
        <v>0</v>
      </c>
      <c r="G8" s="9">
        <v>130</v>
      </c>
      <c r="I8" s="9" t="s">
        <v>59</v>
      </c>
      <c r="J8" s="9" t="s">
        <v>164</v>
      </c>
      <c r="K8" s="9">
        <v>9</v>
      </c>
      <c r="L8" s="9" t="s">
        <v>70</v>
      </c>
      <c r="M8" s="9" t="s">
        <v>74</v>
      </c>
      <c r="N8" s="9" t="s">
        <v>71</v>
      </c>
      <c r="Q8" s="9">
        <v>37</v>
      </c>
      <c r="R8" s="9">
        <v>1</v>
      </c>
      <c r="S8" s="9" t="b">
        <v>0</v>
      </c>
      <c r="T8" s="9" t="b">
        <v>0</v>
      </c>
      <c r="U8" s="9" t="s">
        <v>75</v>
      </c>
    </row>
    <row r="9" spans="1:21" x14ac:dyDescent="0.55000000000000004">
      <c r="A9" s="9" t="s">
        <v>270</v>
      </c>
      <c r="B9" s="9" t="s">
        <v>164</v>
      </c>
      <c r="C9" s="9">
        <v>5</v>
      </c>
      <c r="D9" s="9">
        <v>0</v>
      </c>
      <c r="E9" s="9">
        <v>83</v>
      </c>
      <c r="F9" s="9">
        <v>0</v>
      </c>
      <c r="G9" s="9">
        <v>83</v>
      </c>
      <c r="I9" s="9" t="s">
        <v>59</v>
      </c>
      <c r="J9" s="9" t="s">
        <v>164</v>
      </c>
      <c r="K9" s="9">
        <v>26</v>
      </c>
      <c r="L9" s="9" t="s">
        <v>62</v>
      </c>
      <c r="M9" s="9" t="s">
        <v>76</v>
      </c>
      <c r="N9" s="9" t="s">
        <v>78</v>
      </c>
      <c r="Q9" s="9">
        <v>46</v>
      </c>
      <c r="R9" s="9">
        <v>1</v>
      </c>
      <c r="S9" s="9" t="b">
        <v>0</v>
      </c>
      <c r="T9" s="9" t="b">
        <v>0</v>
      </c>
      <c r="U9" s="9" t="s">
        <v>77</v>
      </c>
    </row>
    <row r="10" spans="1:21" ht="36" x14ac:dyDescent="0.55000000000000004">
      <c r="A10" s="9" t="s">
        <v>287</v>
      </c>
      <c r="B10" s="9" t="s">
        <v>164</v>
      </c>
      <c r="C10" s="9">
        <v>47</v>
      </c>
      <c r="D10" s="9">
        <v>0</v>
      </c>
      <c r="E10" s="9">
        <v>713</v>
      </c>
      <c r="F10" s="9">
        <v>0</v>
      </c>
      <c r="G10" s="9">
        <v>713</v>
      </c>
      <c r="I10" s="9" t="s">
        <v>59</v>
      </c>
      <c r="J10" s="9" t="s">
        <v>164</v>
      </c>
      <c r="K10" s="9">
        <v>8</v>
      </c>
      <c r="L10" s="9" t="s">
        <v>62</v>
      </c>
      <c r="M10" s="9" t="s">
        <v>79</v>
      </c>
      <c r="N10" s="9" t="s">
        <v>81</v>
      </c>
      <c r="Q10" s="9">
        <v>72</v>
      </c>
      <c r="R10" s="9">
        <v>1</v>
      </c>
      <c r="S10" s="9" t="b">
        <v>0</v>
      </c>
      <c r="T10" s="9" t="b">
        <v>0</v>
      </c>
      <c r="U10" s="9" t="s">
        <v>80</v>
      </c>
    </row>
    <row r="11" spans="1:21" ht="54" x14ac:dyDescent="0.55000000000000004">
      <c r="A11" s="9" t="s">
        <v>385</v>
      </c>
      <c r="B11" s="9" t="s">
        <v>164</v>
      </c>
      <c r="C11" s="9">
        <v>4</v>
      </c>
      <c r="D11" s="9">
        <v>0</v>
      </c>
      <c r="E11" s="9">
        <v>108</v>
      </c>
      <c r="F11" s="9">
        <v>0</v>
      </c>
      <c r="G11" s="9">
        <v>108</v>
      </c>
      <c r="I11" s="9" t="s">
        <v>59</v>
      </c>
      <c r="J11" s="9" t="s">
        <v>164</v>
      </c>
      <c r="K11" s="9">
        <v>8</v>
      </c>
      <c r="L11" s="9" t="s">
        <v>62</v>
      </c>
      <c r="M11" s="9" t="s">
        <v>82</v>
      </c>
      <c r="N11" s="9" t="s">
        <v>84</v>
      </c>
      <c r="Q11" s="9">
        <v>80</v>
      </c>
      <c r="R11" s="9">
        <v>1</v>
      </c>
      <c r="S11" s="9" t="b">
        <v>0</v>
      </c>
      <c r="T11" s="9" t="b">
        <v>0</v>
      </c>
      <c r="U11" s="9" t="s">
        <v>83</v>
      </c>
    </row>
    <row r="12" spans="1:21" ht="36" x14ac:dyDescent="0.55000000000000004">
      <c r="A12" s="9" t="s">
        <v>397</v>
      </c>
      <c r="B12" s="9" t="s">
        <v>164</v>
      </c>
      <c r="C12" s="9">
        <v>16</v>
      </c>
      <c r="D12" s="9">
        <v>0</v>
      </c>
      <c r="E12" s="9">
        <v>238</v>
      </c>
      <c r="F12" s="9">
        <v>1</v>
      </c>
      <c r="G12" s="9">
        <v>237</v>
      </c>
      <c r="I12" s="9" t="s">
        <v>59</v>
      </c>
      <c r="J12" s="9" t="s">
        <v>164</v>
      </c>
      <c r="K12" s="9">
        <v>24</v>
      </c>
      <c r="L12" s="9" t="s">
        <v>62</v>
      </c>
      <c r="M12" s="9" t="s">
        <v>85</v>
      </c>
      <c r="N12" s="9" t="s">
        <v>87</v>
      </c>
      <c r="Q12" s="9">
        <v>88</v>
      </c>
      <c r="R12" s="9">
        <v>1</v>
      </c>
      <c r="S12" s="9" t="b">
        <v>0</v>
      </c>
      <c r="T12" s="9" t="b">
        <v>0</v>
      </c>
      <c r="U12" s="9" t="s">
        <v>86</v>
      </c>
    </row>
    <row r="13" spans="1:21" ht="36" x14ac:dyDescent="0.55000000000000004">
      <c r="I13" s="9" t="s">
        <v>59</v>
      </c>
      <c r="J13" s="9" t="s">
        <v>164</v>
      </c>
      <c r="K13" s="9">
        <v>25</v>
      </c>
      <c r="L13" s="9" t="s">
        <v>62</v>
      </c>
      <c r="M13" s="9" t="s">
        <v>88</v>
      </c>
      <c r="N13" s="9" t="s">
        <v>87</v>
      </c>
      <c r="Q13" s="9">
        <v>112</v>
      </c>
      <c r="R13" s="9">
        <v>1</v>
      </c>
      <c r="S13" s="9" t="b">
        <v>0</v>
      </c>
      <c r="T13" s="9" t="b">
        <v>0</v>
      </c>
      <c r="U13" s="9" t="s">
        <v>89</v>
      </c>
    </row>
    <row r="14" spans="1:21" x14ac:dyDescent="0.55000000000000004">
      <c r="I14" s="9" t="s">
        <v>59</v>
      </c>
      <c r="J14" s="9" t="s">
        <v>164</v>
      </c>
      <c r="K14" s="9">
        <v>10</v>
      </c>
      <c r="L14" s="9" t="s">
        <v>62</v>
      </c>
      <c r="M14" s="9" t="s">
        <v>90</v>
      </c>
      <c r="N14" s="9" t="s">
        <v>92</v>
      </c>
      <c r="Q14" s="9">
        <v>137</v>
      </c>
      <c r="R14" s="9">
        <v>1</v>
      </c>
      <c r="S14" s="9" t="b">
        <v>0</v>
      </c>
      <c r="T14" s="9" t="b">
        <v>0</v>
      </c>
      <c r="U14" s="9" t="s">
        <v>91</v>
      </c>
    </row>
    <row r="15" spans="1:21" x14ac:dyDescent="0.55000000000000004">
      <c r="I15" s="9" t="s">
        <v>59</v>
      </c>
      <c r="J15" s="9" t="s">
        <v>164</v>
      </c>
      <c r="K15" s="9">
        <v>6</v>
      </c>
      <c r="L15" s="9" t="s">
        <v>62</v>
      </c>
      <c r="M15" s="9" t="s">
        <v>93</v>
      </c>
      <c r="N15" s="9" t="s">
        <v>78</v>
      </c>
      <c r="Q15" s="9">
        <v>147</v>
      </c>
      <c r="R15" s="9">
        <v>1</v>
      </c>
      <c r="S15" s="9" t="b">
        <v>0</v>
      </c>
      <c r="T15" s="9" t="b">
        <v>0</v>
      </c>
      <c r="U15" s="9" t="s">
        <v>94</v>
      </c>
    </row>
    <row r="16" spans="1:21" x14ac:dyDescent="0.55000000000000004">
      <c r="I16" s="9" t="s">
        <v>59</v>
      </c>
      <c r="J16" s="9" t="s">
        <v>164</v>
      </c>
      <c r="K16" s="9">
        <v>15</v>
      </c>
      <c r="L16" s="9" t="s">
        <v>62</v>
      </c>
      <c r="M16" s="9" t="s">
        <v>95</v>
      </c>
      <c r="N16" s="9" t="s">
        <v>97</v>
      </c>
      <c r="Q16" s="9">
        <v>153</v>
      </c>
      <c r="R16" s="9">
        <v>1</v>
      </c>
      <c r="S16" s="9" t="b">
        <v>0</v>
      </c>
      <c r="T16" s="9" t="b">
        <v>0</v>
      </c>
      <c r="U16" s="9" t="s">
        <v>96</v>
      </c>
    </row>
    <row r="17" spans="9:21" x14ac:dyDescent="0.55000000000000004">
      <c r="I17" s="9" t="s">
        <v>59</v>
      </c>
      <c r="J17" s="9" t="s">
        <v>164</v>
      </c>
      <c r="K17" s="9">
        <v>9</v>
      </c>
      <c r="L17" s="9" t="s">
        <v>62</v>
      </c>
      <c r="M17" s="9" t="s">
        <v>98</v>
      </c>
      <c r="N17" s="9" t="s">
        <v>100</v>
      </c>
      <c r="Q17" s="9">
        <v>168</v>
      </c>
      <c r="R17" s="9">
        <v>1</v>
      </c>
      <c r="S17" s="9" t="b">
        <v>0</v>
      </c>
      <c r="T17" s="9" t="b">
        <v>0</v>
      </c>
      <c r="U17" s="9" t="s">
        <v>99</v>
      </c>
    </row>
    <row r="18" spans="9:21" ht="36" x14ac:dyDescent="0.55000000000000004">
      <c r="I18" s="9" t="s">
        <v>59</v>
      </c>
      <c r="J18" s="9" t="s">
        <v>164</v>
      </c>
      <c r="K18" s="9">
        <v>12</v>
      </c>
      <c r="L18" s="9" t="s">
        <v>62</v>
      </c>
      <c r="M18" s="9" t="s">
        <v>101</v>
      </c>
      <c r="N18" s="9" t="s">
        <v>103</v>
      </c>
      <c r="O18" s="9" t="s">
        <v>104</v>
      </c>
      <c r="Q18" s="9">
        <v>177</v>
      </c>
      <c r="R18" s="9">
        <v>1</v>
      </c>
      <c r="S18" s="9" t="b">
        <v>0</v>
      </c>
      <c r="T18" s="9" t="b">
        <v>0</v>
      </c>
      <c r="U18" s="9" t="s">
        <v>102</v>
      </c>
    </row>
    <row r="19" spans="9:21" x14ac:dyDescent="0.55000000000000004">
      <c r="I19" s="9" t="s">
        <v>59</v>
      </c>
      <c r="J19" s="9" t="s">
        <v>164</v>
      </c>
      <c r="K19" s="9">
        <v>13</v>
      </c>
      <c r="L19" s="9" t="s">
        <v>107</v>
      </c>
      <c r="M19" s="9" t="s">
        <v>105</v>
      </c>
      <c r="N19" s="9" t="s">
        <v>108</v>
      </c>
      <c r="O19" s="9" t="s">
        <v>64</v>
      </c>
      <c r="Q19" s="9">
        <v>189</v>
      </c>
      <c r="R19" s="9">
        <v>1</v>
      </c>
      <c r="S19" s="9" t="b">
        <v>0</v>
      </c>
      <c r="T19" s="9" t="b">
        <v>0</v>
      </c>
      <c r="U19" s="9" t="s">
        <v>106</v>
      </c>
    </row>
    <row r="20" spans="9:21" ht="36" x14ac:dyDescent="0.55000000000000004">
      <c r="I20" s="9" t="s">
        <v>59</v>
      </c>
      <c r="J20" s="9" t="s">
        <v>164</v>
      </c>
      <c r="K20" s="9">
        <v>18</v>
      </c>
      <c r="L20" s="9" t="s">
        <v>62</v>
      </c>
      <c r="M20" s="9" t="s">
        <v>109</v>
      </c>
      <c r="N20" s="9" t="s">
        <v>111</v>
      </c>
      <c r="Q20" s="9">
        <v>202</v>
      </c>
      <c r="R20" s="9">
        <v>1</v>
      </c>
      <c r="S20" s="9" t="b">
        <v>0</v>
      </c>
      <c r="T20" s="9" t="b">
        <v>0</v>
      </c>
      <c r="U20" s="9" t="s">
        <v>110</v>
      </c>
    </row>
    <row r="21" spans="9:21" x14ac:dyDescent="0.55000000000000004">
      <c r="I21" s="9" t="s">
        <v>59</v>
      </c>
      <c r="J21" s="9" t="s">
        <v>164</v>
      </c>
      <c r="K21" s="9">
        <v>11</v>
      </c>
      <c r="L21" s="9" t="s">
        <v>62</v>
      </c>
      <c r="M21" s="9" t="s">
        <v>112</v>
      </c>
      <c r="N21" s="9" t="s">
        <v>92</v>
      </c>
      <c r="Q21" s="9">
        <v>220</v>
      </c>
      <c r="R21" s="9">
        <v>1</v>
      </c>
      <c r="S21" s="9" t="b">
        <v>0</v>
      </c>
      <c r="T21" s="9" t="b">
        <v>0</v>
      </c>
      <c r="U21" s="9" t="s">
        <v>113</v>
      </c>
    </row>
    <row r="22" spans="9:21" ht="54" x14ac:dyDescent="0.55000000000000004">
      <c r="I22" s="9" t="s">
        <v>59</v>
      </c>
      <c r="J22" s="9" t="s">
        <v>164</v>
      </c>
      <c r="K22" s="9">
        <v>17</v>
      </c>
      <c r="L22" s="9" t="s">
        <v>62</v>
      </c>
      <c r="M22" s="9" t="s">
        <v>114</v>
      </c>
      <c r="N22" s="9" t="s">
        <v>116</v>
      </c>
      <c r="Q22" s="9">
        <v>231</v>
      </c>
      <c r="R22" s="9">
        <v>1</v>
      </c>
      <c r="S22" s="9" t="b">
        <v>0</v>
      </c>
      <c r="T22" s="9" t="b">
        <v>0</v>
      </c>
      <c r="U22" s="9" t="s">
        <v>115</v>
      </c>
    </row>
    <row r="23" spans="9:21" ht="36" x14ac:dyDescent="0.55000000000000004">
      <c r="I23" s="9" t="s">
        <v>59</v>
      </c>
      <c r="J23" s="9" t="s">
        <v>164</v>
      </c>
      <c r="K23" s="9">
        <v>69</v>
      </c>
      <c r="L23" s="9" t="s">
        <v>62</v>
      </c>
      <c r="M23" s="9" t="s">
        <v>117</v>
      </c>
      <c r="N23" s="9" t="s">
        <v>119</v>
      </c>
      <c r="Q23" s="9">
        <v>248</v>
      </c>
      <c r="R23" s="9">
        <v>1</v>
      </c>
      <c r="S23" s="9" t="b">
        <v>0</v>
      </c>
      <c r="T23" s="9" t="b">
        <v>0</v>
      </c>
      <c r="U23" s="9" t="s">
        <v>118</v>
      </c>
    </row>
    <row r="24" spans="9:21" ht="54" x14ac:dyDescent="0.55000000000000004">
      <c r="I24" s="9" t="s">
        <v>59</v>
      </c>
      <c r="J24" s="9" t="s">
        <v>164</v>
      </c>
      <c r="K24" s="9">
        <v>67</v>
      </c>
      <c r="L24" s="9" t="s">
        <v>70</v>
      </c>
      <c r="M24" s="9" t="s">
        <v>120</v>
      </c>
      <c r="N24" s="9" t="s">
        <v>122</v>
      </c>
      <c r="Q24" s="9">
        <v>317</v>
      </c>
      <c r="R24" s="9">
        <v>1</v>
      </c>
      <c r="S24" s="9" t="b">
        <v>0</v>
      </c>
      <c r="T24" s="9" t="b">
        <v>0</v>
      </c>
      <c r="U24" s="9" t="s">
        <v>121</v>
      </c>
    </row>
    <row r="25" spans="9:21" ht="36" x14ac:dyDescent="0.55000000000000004">
      <c r="I25" s="9" t="s">
        <v>59</v>
      </c>
      <c r="J25" s="9" t="s">
        <v>164</v>
      </c>
      <c r="K25" s="9">
        <v>11</v>
      </c>
      <c r="L25" s="9" t="s">
        <v>70</v>
      </c>
      <c r="M25" s="9" t="s">
        <v>123</v>
      </c>
      <c r="N25" s="9" t="s">
        <v>125</v>
      </c>
      <c r="Q25" s="9">
        <v>384</v>
      </c>
      <c r="R25" s="9">
        <v>1</v>
      </c>
      <c r="S25" s="9" t="b">
        <v>0</v>
      </c>
      <c r="T25" s="9" t="b">
        <v>0</v>
      </c>
      <c r="U25" s="9" t="s">
        <v>124</v>
      </c>
    </row>
    <row r="26" spans="9:21" ht="36" x14ac:dyDescent="0.55000000000000004">
      <c r="I26" s="9" t="s">
        <v>59</v>
      </c>
      <c r="J26" s="9" t="s">
        <v>164</v>
      </c>
      <c r="K26" s="9">
        <v>13</v>
      </c>
      <c r="L26" s="9" t="s">
        <v>62</v>
      </c>
      <c r="M26" s="9" t="s">
        <v>126</v>
      </c>
      <c r="N26" s="9" t="s">
        <v>128</v>
      </c>
      <c r="Q26" s="9">
        <v>395</v>
      </c>
      <c r="R26" s="9">
        <v>1</v>
      </c>
      <c r="S26" s="9" t="b">
        <v>0</v>
      </c>
      <c r="T26" s="9" t="b">
        <v>0</v>
      </c>
      <c r="U26" s="9" t="s">
        <v>127</v>
      </c>
    </row>
    <row r="27" spans="9:21" ht="54" x14ac:dyDescent="0.55000000000000004">
      <c r="I27" s="9" t="s">
        <v>59</v>
      </c>
      <c r="J27" s="9" t="s">
        <v>164</v>
      </c>
      <c r="K27" s="9">
        <v>8</v>
      </c>
      <c r="L27" s="9" t="s">
        <v>62</v>
      </c>
      <c r="M27" s="9" t="s">
        <v>129</v>
      </c>
      <c r="N27" s="9" t="s">
        <v>131</v>
      </c>
      <c r="Q27" s="9">
        <v>408</v>
      </c>
      <c r="R27" s="9">
        <v>1</v>
      </c>
      <c r="S27" s="9" t="b">
        <v>0</v>
      </c>
      <c r="T27" s="9" t="b">
        <v>0</v>
      </c>
      <c r="U27" s="9" t="s">
        <v>130</v>
      </c>
    </row>
    <row r="28" spans="9:21" ht="54" x14ac:dyDescent="0.55000000000000004">
      <c r="I28" s="9" t="s">
        <v>59</v>
      </c>
      <c r="J28" s="9" t="s">
        <v>164</v>
      </c>
      <c r="K28" s="9">
        <v>15</v>
      </c>
      <c r="L28" s="9" t="s">
        <v>62</v>
      </c>
      <c r="M28" s="9" t="s">
        <v>0</v>
      </c>
      <c r="N28" s="9" t="s">
        <v>133</v>
      </c>
      <c r="Q28" s="9">
        <v>416</v>
      </c>
      <c r="R28" s="9">
        <v>1</v>
      </c>
      <c r="S28" s="9" t="b">
        <v>0</v>
      </c>
      <c r="T28" s="9" t="b">
        <v>0</v>
      </c>
      <c r="U28" s="9" t="s">
        <v>132</v>
      </c>
    </row>
    <row r="29" spans="9:21" ht="54" x14ac:dyDescent="0.55000000000000004">
      <c r="I29" s="9" t="s">
        <v>59</v>
      </c>
      <c r="J29" s="9" t="s">
        <v>164</v>
      </c>
      <c r="K29" s="9">
        <v>9</v>
      </c>
      <c r="L29" s="9" t="s">
        <v>62</v>
      </c>
      <c r="M29" s="9" t="s">
        <v>134</v>
      </c>
      <c r="N29" s="9" t="s">
        <v>136</v>
      </c>
      <c r="Q29" s="9">
        <v>431</v>
      </c>
      <c r="R29" s="9">
        <v>1</v>
      </c>
      <c r="S29" s="9" t="b">
        <v>0</v>
      </c>
      <c r="T29" s="9" t="b">
        <v>0</v>
      </c>
      <c r="U29" s="9" t="s">
        <v>135</v>
      </c>
    </row>
    <row r="30" spans="9:21" ht="72" x14ac:dyDescent="0.55000000000000004">
      <c r="I30" s="9" t="s">
        <v>59</v>
      </c>
      <c r="J30" s="9" t="s">
        <v>164</v>
      </c>
      <c r="K30" s="9">
        <v>21</v>
      </c>
      <c r="L30" s="9" t="s">
        <v>62</v>
      </c>
      <c r="M30" s="9" t="s">
        <v>137</v>
      </c>
      <c r="N30" s="9" t="s">
        <v>139</v>
      </c>
      <c r="Q30" s="9">
        <v>440</v>
      </c>
      <c r="R30" s="9">
        <v>1</v>
      </c>
      <c r="S30" s="9" t="b">
        <v>0</v>
      </c>
      <c r="T30" s="9" t="b">
        <v>0</v>
      </c>
      <c r="U30" s="9" t="s">
        <v>138</v>
      </c>
    </row>
    <row r="31" spans="9:21" ht="36" x14ac:dyDescent="0.55000000000000004">
      <c r="I31" s="9" t="s">
        <v>59</v>
      </c>
      <c r="J31" s="9" t="s">
        <v>164</v>
      </c>
      <c r="K31" s="9">
        <v>62</v>
      </c>
      <c r="L31" s="9" t="s">
        <v>62</v>
      </c>
      <c r="M31" s="9" t="s">
        <v>140</v>
      </c>
      <c r="N31" s="9" t="s">
        <v>142</v>
      </c>
      <c r="Q31" s="9">
        <v>462</v>
      </c>
      <c r="R31" s="9">
        <v>1</v>
      </c>
      <c r="S31" s="9" t="b">
        <v>0</v>
      </c>
      <c r="T31" s="9" t="b">
        <v>0</v>
      </c>
      <c r="U31" s="9" t="s">
        <v>141</v>
      </c>
    </row>
    <row r="32" spans="9:21" x14ac:dyDescent="0.55000000000000004">
      <c r="I32" s="9" t="s">
        <v>59</v>
      </c>
      <c r="J32" s="9" t="s">
        <v>164</v>
      </c>
      <c r="K32" s="9">
        <v>7</v>
      </c>
      <c r="L32" s="9" t="s">
        <v>62</v>
      </c>
      <c r="M32" s="9" t="s">
        <v>143</v>
      </c>
      <c r="N32" s="9" t="s">
        <v>145</v>
      </c>
      <c r="Q32" s="9">
        <v>523</v>
      </c>
      <c r="R32" s="9">
        <v>1</v>
      </c>
      <c r="S32" s="9" t="b">
        <v>0</v>
      </c>
      <c r="T32" s="9" t="b">
        <v>0</v>
      </c>
      <c r="U32" s="9" t="s">
        <v>144</v>
      </c>
    </row>
    <row r="33" spans="9:21" ht="54" x14ac:dyDescent="0.55000000000000004">
      <c r="I33" s="9" t="s">
        <v>59</v>
      </c>
      <c r="J33" s="9" t="s">
        <v>164</v>
      </c>
      <c r="K33" s="9">
        <v>13</v>
      </c>
      <c r="L33" s="9" t="s">
        <v>70</v>
      </c>
      <c r="M33" s="9" t="s">
        <v>146</v>
      </c>
      <c r="N33" s="9" t="s">
        <v>148</v>
      </c>
      <c r="Q33" s="9">
        <v>530</v>
      </c>
      <c r="R33" s="9">
        <v>1</v>
      </c>
      <c r="S33" s="9" t="b">
        <v>0</v>
      </c>
      <c r="T33" s="9" t="b">
        <v>0</v>
      </c>
      <c r="U33" s="9" t="s">
        <v>147</v>
      </c>
    </row>
    <row r="34" spans="9:21" ht="54" x14ac:dyDescent="0.55000000000000004">
      <c r="I34" s="9" t="s">
        <v>59</v>
      </c>
      <c r="J34" s="9" t="s">
        <v>164</v>
      </c>
      <c r="K34" s="9">
        <v>9</v>
      </c>
      <c r="L34" s="9" t="s">
        <v>70</v>
      </c>
      <c r="M34" s="9" t="s">
        <v>149</v>
      </c>
      <c r="N34" s="9" t="s">
        <v>148</v>
      </c>
      <c r="Q34" s="9">
        <v>543</v>
      </c>
      <c r="R34" s="9">
        <v>1</v>
      </c>
      <c r="S34" s="9" t="b">
        <v>0</v>
      </c>
      <c r="T34" s="9" t="b">
        <v>0</v>
      </c>
      <c r="U34" s="9" t="s">
        <v>150</v>
      </c>
    </row>
    <row r="35" spans="9:21" ht="54" x14ac:dyDescent="0.55000000000000004">
      <c r="I35" s="9" t="s">
        <v>59</v>
      </c>
      <c r="J35" s="9" t="s">
        <v>164</v>
      </c>
      <c r="K35" s="9">
        <v>12</v>
      </c>
      <c r="L35" s="9" t="s">
        <v>70</v>
      </c>
      <c r="M35" s="9" t="s">
        <v>151</v>
      </c>
      <c r="N35" s="9" t="s">
        <v>148</v>
      </c>
      <c r="Q35" s="9">
        <v>552</v>
      </c>
      <c r="R35" s="9">
        <v>1</v>
      </c>
      <c r="S35" s="9" t="b">
        <v>0</v>
      </c>
      <c r="T35" s="9" t="b">
        <v>0</v>
      </c>
      <c r="U35" s="9" t="s">
        <v>152</v>
      </c>
    </row>
    <row r="36" spans="9:21" ht="54" x14ac:dyDescent="0.55000000000000004">
      <c r="I36" s="9" t="s">
        <v>59</v>
      </c>
      <c r="J36" s="9" t="s">
        <v>164</v>
      </c>
      <c r="K36" s="9">
        <v>16</v>
      </c>
      <c r="L36" s="9" t="s">
        <v>70</v>
      </c>
      <c r="M36" s="9" t="s">
        <v>153</v>
      </c>
      <c r="N36" s="9" t="s">
        <v>148</v>
      </c>
      <c r="Q36" s="9">
        <v>564</v>
      </c>
      <c r="R36" s="9">
        <v>1</v>
      </c>
      <c r="S36" s="9" t="b">
        <v>0</v>
      </c>
      <c r="T36" s="9" t="b">
        <v>0</v>
      </c>
      <c r="U36" s="9" t="s">
        <v>154</v>
      </c>
    </row>
    <row r="37" spans="9:21" ht="90" x14ac:dyDescent="0.55000000000000004">
      <c r="I37" s="9" t="s">
        <v>59</v>
      </c>
      <c r="J37" s="9" t="s">
        <v>164</v>
      </c>
      <c r="K37" s="9">
        <v>13</v>
      </c>
      <c r="L37" s="9" t="s">
        <v>62</v>
      </c>
      <c r="M37" s="9" t="s">
        <v>155</v>
      </c>
      <c r="N37" s="9" t="s">
        <v>157</v>
      </c>
      <c r="Q37" s="9">
        <v>580</v>
      </c>
      <c r="R37" s="9">
        <v>1</v>
      </c>
      <c r="S37" s="9" t="b">
        <v>0</v>
      </c>
      <c r="T37" s="9" t="b">
        <v>0</v>
      </c>
      <c r="U37" s="9" t="s">
        <v>156</v>
      </c>
    </row>
    <row r="38" spans="9:21" ht="108" x14ac:dyDescent="0.55000000000000004">
      <c r="I38" s="9" t="s">
        <v>59</v>
      </c>
      <c r="J38" s="9" t="s">
        <v>164</v>
      </c>
      <c r="K38" s="9">
        <v>15</v>
      </c>
      <c r="L38" s="9" t="s">
        <v>62</v>
      </c>
      <c r="M38" s="9" t="s">
        <v>158</v>
      </c>
      <c r="N38" s="9" t="s">
        <v>160</v>
      </c>
      <c r="Q38" s="9">
        <v>593</v>
      </c>
      <c r="R38" s="9">
        <v>1</v>
      </c>
      <c r="S38" s="9" t="b">
        <v>0</v>
      </c>
      <c r="T38" s="9" t="b">
        <v>0</v>
      </c>
      <c r="U38" s="9" t="s">
        <v>159</v>
      </c>
    </row>
    <row r="39" spans="9:21" ht="72" x14ac:dyDescent="0.55000000000000004">
      <c r="I39" s="9" t="s">
        <v>59</v>
      </c>
      <c r="J39" s="9" t="s">
        <v>164</v>
      </c>
      <c r="K39" s="9">
        <v>6</v>
      </c>
      <c r="L39" s="9" t="s">
        <v>62</v>
      </c>
      <c r="M39" s="9" t="s">
        <v>161</v>
      </c>
      <c r="N39" s="9" t="s">
        <v>163</v>
      </c>
      <c r="Q39" s="9">
        <v>608</v>
      </c>
      <c r="R39" s="9">
        <v>1</v>
      </c>
      <c r="S39" s="9" t="b">
        <v>0</v>
      </c>
      <c r="T39" s="9" t="b">
        <v>0</v>
      </c>
      <c r="U39" s="9" t="s">
        <v>162</v>
      </c>
    </row>
    <row r="40" spans="9:21" x14ac:dyDescent="0.55000000000000004">
      <c r="I40" s="9" t="s">
        <v>165</v>
      </c>
      <c r="J40" s="9" t="s">
        <v>164</v>
      </c>
      <c r="K40" s="9">
        <v>36</v>
      </c>
      <c r="L40" s="9" t="s">
        <v>70</v>
      </c>
      <c r="M40" s="9" t="s">
        <v>166</v>
      </c>
      <c r="N40" s="9" t="s">
        <v>168</v>
      </c>
      <c r="Q40" s="9">
        <v>1</v>
      </c>
      <c r="R40" s="9">
        <v>1</v>
      </c>
      <c r="S40" s="9" t="b">
        <v>0</v>
      </c>
      <c r="T40" s="9" t="b">
        <v>0</v>
      </c>
      <c r="U40" s="9" t="s">
        <v>167</v>
      </c>
    </row>
    <row r="41" spans="9:21" ht="54" x14ac:dyDescent="0.55000000000000004">
      <c r="I41" s="9" t="s">
        <v>165</v>
      </c>
      <c r="J41" s="9" t="s">
        <v>164</v>
      </c>
      <c r="K41" s="9">
        <v>13</v>
      </c>
      <c r="L41" s="9" t="s">
        <v>62</v>
      </c>
      <c r="M41" s="9" t="s">
        <v>169</v>
      </c>
      <c r="N41" s="9" t="s">
        <v>171</v>
      </c>
      <c r="Q41" s="9">
        <v>38</v>
      </c>
      <c r="R41" s="9">
        <v>1</v>
      </c>
      <c r="S41" s="9" t="b">
        <v>0</v>
      </c>
      <c r="T41" s="9" t="b">
        <v>0</v>
      </c>
      <c r="U41" s="9" t="s">
        <v>170</v>
      </c>
    </row>
    <row r="42" spans="9:21" ht="36" x14ac:dyDescent="0.55000000000000004">
      <c r="I42" s="9" t="s">
        <v>165</v>
      </c>
      <c r="J42" s="9" t="s">
        <v>164</v>
      </c>
      <c r="K42" s="9">
        <v>11</v>
      </c>
      <c r="L42" s="9" t="s">
        <v>62</v>
      </c>
      <c r="M42" s="9" t="s">
        <v>172</v>
      </c>
      <c r="N42" s="9" t="s">
        <v>174</v>
      </c>
      <c r="Q42" s="9">
        <v>51</v>
      </c>
      <c r="R42" s="9">
        <v>1</v>
      </c>
      <c r="S42" s="9" t="b">
        <v>0</v>
      </c>
      <c r="T42" s="9" t="b">
        <v>0</v>
      </c>
      <c r="U42" s="9" t="s">
        <v>173</v>
      </c>
    </row>
    <row r="43" spans="9:21" x14ac:dyDescent="0.55000000000000004">
      <c r="I43" s="9" t="s">
        <v>165</v>
      </c>
      <c r="J43" s="9" t="s">
        <v>164</v>
      </c>
      <c r="K43" s="9">
        <v>7</v>
      </c>
      <c r="L43" s="9" t="s">
        <v>62</v>
      </c>
      <c r="M43" s="9" t="s">
        <v>175</v>
      </c>
      <c r="N43" s="9" t="s">
        <v>177</v>
      </c>
      <c r="Q43" s="9">
        <v>62</v>
      </c>
      <c r="R43" s="9">
        <v>1</v>
      </c>
      <c r="S43" s="9" t="b">
        <v>0</v>
      </c>
      <c r="T43" s="9" t="b">
        <v>0</v>
      </c>
      <c r="U43" s="9" t="s">
        <v>176</v>
      </c>
    </row>
    <row r="44" spans="9:21" x14ac:dyDescent="0.55000000000000004">
      <c r="I44" s="9" t="s">
        <v>165</v>
      </c>
      <c r="J44" s="9" t="s">
        <v>164</v>
      </c>
      <c r="K44" s="9">
        <v>5</v>
      </c>
      <c r="L44" s="9" t="s">
        <v>70</v>
      </c>
      <c r="M44" s="9" t="s">
        <v>178</v>
      </c>
      <c r="Q44" s="9">
        <v>70</v>
      </c>
      <c r="R44" s="9">
        <v>1</v>
      </c>
      <c r="S44" s="9" t="b">
        <v>0</v>
      </c>
      <c r="T44" s="9" t="b">
        <v>0</v>
      </c>
      <c r="U44" s="9" t="s">
        <v>179</v>
      </c>
    </row>
    <row r="45" spans="9:21" x14ac:dyDescent="0.55000000000000004">
      <c r="I45" s="9" t="s">
        <v>165</v>
      </c>
      <c r="J45" s="9" t="s">
        <v>164</v>
      </c>
      <c r="K45" s="9">
        <v>4</v>
      </c>
      <c r="L45" s="9" t="s">
        <v>70</v>
      </c>
      <c r="M45" s="9" t="s">
        <v>180</v>
      </c>
      <c r="N45" s="9" t="s">
        <v>168</v>
      </c>
      <c r="Q45" s="9">
        <v>74</v>
      </c>
      <c r="R45" s="9">
        <v>1</v>
      </c>
      <c r="S45" s="9" t="b">
        <v>0</v>
      </c>
      <c r="T45" s="9" t="b">
        <v>0</v>
      </c>
      <c r="U45" s="9" t="s">
        <v>181</v>
      </c>
    </row>
    <row r="46" spans="9:21" x14ac:dyDescent="0.55000000000000004">
      <c r="I46" s="9" t="s">
        <v>165</v>
      </c>
      <c r="J46" s="9" t="s">
        <v>164</v>
      </c>
      <c r="K46" s="9">
        <v>6</v>
      </c>
      <c r="L46" s="9" t="s">
        <v>70</v>
      </c>
      <c r="M46" s="9" t="s">
        <v>182</v>
      </c>
      <c r="Q46" s="9">
        <v>78</v>
      </c>
      <c r="R46" s="9">
        <v>1</v>
      </c>
      <c r="S46" s="9" t="b">
        <v>0</v>
      </c>
      <c r="T46" s="9" t="b">
        <v>0</v>
      </c>
      <c r="U46" s="9" t="s">
        <v>183</v>
      </c>
    </row>
    <row r="47" spans="9:21" x14ac:dyDescent="0.55000000000000004">
      <c r="I47" s="9" t="s">
        <v>184</v>
      </c>
      <c r="J47" s="9" t="s">
        <v>164</v>
      </c>
      <c r="K47" s="9">
        <v>14</v>
      </c>
      <c r="L47" s="9" t="s">
        <v>70</v>
      </c>
      <c r="M47" s="9" t="s">
        <v>185</v>
      </c>
      <c r="Q47" s="9">
        <v>1</v>
      </c>
      <c r="R47" s="9">
        <v>1</v>
      </c>
      <c r="S47" s="9" t="b">
        <v>0</v>
      </c>
      <c r="T47" s="9" t="b">
        <v>0</v>
      </c>
      <c r="U47" s="9" t="s">
        <v>186</v>
      </c>
    </row>
    <row r="48" spans="9:21" ht="36" x14ac:dyDescent="0.55000000000000004">
      <c r="I48" s="9" t="s">
        <v>184</v>
      </c>
      <c r="J48" s="9" t="s">
        <v>164</v>
      </c>
      <c r="K48" s="9">
        <v>10</v>
      </c>
      <c r="L48" s="9" t="s">
        <v>62</v>
      </c>
      <c r="M48" s="9" t="s">
        <v>187</v>
      </c>
      <c r="N48" s="9" t="s">
        <v>189</v>
      </c>
      <c r="O48" s="9" t="s">
        <v>104</v>
      </c>
      <c r="Q48" s="9">
        <v>17</v>
      </c>
      <c r="R48" s="9">
        <v>1</v>
      </c>
      <c r="S48" s="9" t="b">
        <v>0</v>
      </c>
      <c r="T48" s="9" t="b">
        <v>0</v>
      </c>
      <c r="U48" s="9" t="s">
        <v>188</v>
      </c>
    </row>
    <row r="49" spans="9:21" ht="36" x14ac:dyDescent="0.55000000000000004">
      <c r="I49" s="9" t="s">
        <v>184</v>
      </c>
      <c r="J49" s="9" t="s">
        <v>164</v>
      </c>
      <c r="K49" s="9">
        <v>7</v>
      </c>
      <c r="L49" s="9" t="s">
        <v>62</v>
      </c>
      <c r="M49" s="9" t="s">
        <v>190</v>
      </c>
      <c r="N49" s="9" t="s">
        <v>189</v>
      </c>
      <c r="O49" s="9" t="s">
        <v>104</v>
      </c>
      <c r="Q49" s="9">
        <v>27</v>
      </c>
      <c r="R49" s="9">
        <v>1</v>
      </c>
      <c r="S49" s="9" t="b">
        <v>0</v>
      </c>
      <c r="T49" s="9" t="b">
        <v>0</v>
      </c>
      <c r="U49" s="9" t="s">
        <v>191</v>
      </c>
    </row>
    <row r="50" spans="9:21" x14ac:dyDescent="0.55000000000000004">
      <c r="I50" s="9" t="s">
        <v>184</v>
      </c>
      <c r="J50" s="9" t="s">
        <v>164</v>
      </c>
      <c r="K50" s="9">
        <v>6</v>
      </c>
      <c r="L50" s="9" t="s">
        <v>62</v>
      </c>
      <c r="M50" s="9" t="s">
        <v>192</v>
      </c>
      <c r="N50" s="9" t="s">
        <v>194</v>
      </c>
      <c r="O50" s="9" t="s">
        <v>104</v>
      </c>
      <c r="Q50" s="9">
        <v>33</v>
      </c>
      <c r="R50" s="9">
        <v>1</v>
      </c>
      <c r="S50" s="9" t="b">
        <v>0</v>
      </c>
      <c r="T50" s="9" t="b">
        <v>0</v>
      </c>
      <c r="U50" s="9" t="s">
        <v>193</v>
      </c>
    </row>
    <row r="51" spans="9:21" ht="36" x14ac:dyDescent="0.55000000000000004">
      <c r="I51" s="9" t="s">
        <v>184</v>
      </c>
      <c r="J51" s="9" t="s">
        <v>164</v>
      </c>
      <c r="K51" s="9">
        <v>6</v>
      </c>
      <c r="L51" s="9" t="s">
        <v>62</v>
      </c>
      <c r="M51" s="9" t="s">
        <v>195</v>
      </c>
      <c r="N51" s="9" t="s">
        <v>189</v>
      </c>
      <c r="O51" s="9" t="s">
        <v>104</v>
      </c>
      <c r="Q51" s="9">
        <v>39</v>
      </c>
      <c r="R51" s="9">
        <v>1</v>
      </c>
      <c r="S51" s="9" t="b">
        <v>0</v>
      </c>
      <c r="T51" s="9" t="b">
        <v>0</v>
      </c>
      <c r="U51" s="9" t="s">
        <v>196</v>
      </c>
    </row>
    <row r="52" spans="9:21" ht="36" x14ac:dyDescent="0.55000000000000004">
      <c r="I52" s="9" t="s">
        <v>184</v>
      </c>
      <c r="J52" s="9" t="s">
        <v>164</v>
      </c>
      <c r="K52" s="9">
        <v>34</v>
      </c>
      <c r="L52" s="9" t="s">
        <v>62</v>
      </c>
      <c r="M52" s="9" t="s">
        <v>197</v>
      </c>
      <c r="N52" s="9" t="s">
        <v>189</v>
      </c>
      <c r="O52" s="9" t="s">
        <v>104</v>
      </c>
      <c r="Q52" s="9">
        <v>45</v>
      </c>
      <c r="R52" s="9">
        <v>1</v>
      </c>
      <c r="S52" s="9" t="b">
        <v>0</v>
      </c>
      <c r="T52" s="9" t="b">
        <v>0</v>
      </c>
      <c r="U52" s="9" t="s">
        <v>198</v>
      </c>
    </row>
    <row r="53" spans="9:21" ht="36" x14ac:dyDescent="0.55000000000000004">
      <c r="I53" s="9" t="s">
        <v>184</v>
      </c>
      <c r="J53" s="9" t="s">
        <v>164</v>
      </c>
      <c r="K53" s="9">
        <v>8</v>
      </c>
      <c r="L53" s="9" t="s">
        <v>62</v>
      </c>
      <c r="M53" s="9" t="s">
        <v>199</v>
      </c>
      <c r="N53" s="9" t="s">
        <v>189</v>
      </c>
      <c r="O53" s="9" t="s">
        <v>104</v>
      </c>
      <c r="Q53" s="9">
        <v>79</v>
      </c>
      <c r="R53" s="9">
        <v>1</v>
      </c>
      <c r="S53" s="9" t="b">
        <v>0</v>
      </c>
      <c r="T53" s="9" t="b">
        <v>0</v>
      </c>
      <c r="U53" s="9" t="s">
        <v>200</v>
      </c>
    </row>
    <row r="54" spans="9:21" x14ac:dyDescent="0.55000000000000004">
      <c r="I54" s="9" t="s">
        <v>201</v>
      </c>
      <c r="J54" s="9" t="s">
        <v>164</v>
      </c>
      <c r="K54" s="9">
        <v>40</v>
      </c>
      <c r="L54" s="9" t="s">
        <v>107</v>
      </c>
      <c r="M54" s="9" t="s">
        <v>202</v>
      </c>
      <c r="N54" s="9" t="s">
        <v>204</v>
      </c>
      <c r="O54" s="9" t="s">
        <v>205</v>
      </c>
      <c r="Q54" s="9">
        <v>1</v>
      </c>
      <c r="R54" s="9">
        <v>1</v>
      </c>
      <c r="S54" s="9" t="b">
        <v>0</v>
      </c>
      <c r="T54" s="9" t="b">
        <v>0</v>
      </c>
      <c r="U54" s="9" t="s">
        <v>203</v>
      </c>
    </row>
    <row r="55" spans="9:21" ht="54" x14ac:dyDescent="0.55000000000000004">
      <c r="I55" s="9" t="s">
        <v>201</v>
      </c>
      <c r="J55" s="9" t="s">
        <v>164</v>
      </c>
      <c r="K55" s="9">
        <v>13</v>
      </c>
      <c r="L55" s="9" t="s">
        <v>107</v>
      </c>
      <c r="M55" s="9" t="s">
        <v>206</v>
      </c>
      <c r="N55" s="9" t="s">
        <v>208</v>
      </c>
      <c r="O55" s="9" t="s">
        <v>205</v>
      </c>
      <c r="Q55" s="9">
        <v>42</v>
      </c>
      <c r="R55" s="9">
        <v>1</v>
      </c>
      <c r="S55" s="9" t="b">
        <v>0</v>
      </c>
      <c r="T55" s="9" t="b">
        <v>0</v>
      </c>
      <c r="U55" s="9" t="s">
        <v>207</v>
      </c>
    </row>
    <row r="56" spans="9:21" ht="54" x14ac:dyDescent="0.55000000000000004">
      <c r="I56" s="9" t="s">
        <v>201</v>
      </c>
      <c r="J56" s="9" t="s">
        <v>164</v>
      </c>
      <c r="K56" s="9">
        <v>18</v>
      </c>
      <c r="L56" s="9" t="s">
        <v>107</v>
      </c>
      <c r="M56" s="9" t="s">
        <v>1</v>
      </c>
      <c r="N56" s="9" t="s">
        <v>210</v>
      </c>
      <c r="O56" s="9" t="s">
        <v>205</v>
      </c>
      <c r="Q56" s="9">
        <v>55</v>
      </c>
      <c r="R56" s="9">
        <v>1</v>
      </c>
      <c r="S56" s="9" t="b">
        <v>0</v>
      </c>
      <c r="T56" s="9" t="b">
        <v>0</v>
      </c>
      <c r="U56" s="9" t="s">
        <v>209</v>
      </c>
    </row>
    <row r="57" spans="9:21" ht="54" x14ac:dyDescent="0.55000000000000004">
      <c r="I57" s="9" t="s">
        <v>201</v>
      </c>
      <c r="J57" s="9" t="s">
        <v>164</v>
      </c>
      <c r="K57" s="9">
        <v>17</v>
      </c>
      <c r="L57" s="9" t="s">
        <v>107</v>
      </c>
      <c r="M57" s="9" t="s">
        <v>211</v>
      </c>
      <c r="N57" s="9" t="s">
        <v>208</v>
      </c>
      <c r="O57" s="9" t="s">
        <v>205</v>
      </c>
      <c r="Q57" s="9">
        <v>73</v>
      </c>
      <c r="R57" s="9">
        <v>1</v>
      </c>
      <c r="S57" s="9" t="b">
        <v>0</v>
      </c>
      <c r="T57" s="9" t="b">
        <v>0</v>
      </c>
      <c r="U57" s="9" t="s">
        <v>212</v>
      </c>
    </row>
    <row r="58" spans="9:21" ht="72" x14ac:dyDescent="0.55000000000000004">
      <c r="I58" s="9" t="s">
        <v>201</v>
      </c>
      <c r="J58" s="9" t="s">
        <v>164</v>
      </c>
      <c r="K58" s="9">
        <v>6</v>
      </c>
      <c r="L58" s="9" t="s">
        <v>107</v>
      </c>
      <c r="M58" s="9" t="s">
        <v>213</v>
      </c>
      <c r="N58" s="9" t="s">
        <v>215</v>
      </c>
      <c r="O58" s="9" t="s">
        <v>205</v>
      </c>
      <c r="Q58" s="9">
        <v>90</v>
      </c>
      <c r="R58" s="9">
        <v>1</v>
      </c>
      <c r="S58" s="9" t="b">
        <v>0</v>
      </c>
      <c r="T58" s="9" t="b">
        <v>0</v>
      </c>
      <c r="U58" s="9" t="s">
        <v>214</v>
      </c>
    </row>
    <row r="59" spans="9:21" ht="72" x14ac:dyDescent="0.55000000000000004">
      <c r="I59" s="9" t="s">
        <v>201</v>
      </c>
      <c r="J59" s="9" t="s">
        <v>164</v>
      </c>
      <c r="K59" s="9">
        <v>13</v>
      </c>
      <c r="L59" s="9" t="s">
        <v>107</v>
      </c>
      <c r="M59" s="9" t="s">
        <v>216</v>
      </c>
      <c r="N59" s="9" t="s">
        <v>218</v>
      </c>
      <c r="O59" s="9" t="s">
        <v>205</v>
      </c>
      <c r="Q59" s="9">
        <v>96</v>
      </c>
      <c r="R59" s="9">
        <v>1</v>
      </c>
      <c r="S59" s="9" t="b">
        <v>0</v>
      </c>
      <c r="T59" s="9" t="b">
        <v>0</v>
      </c>
      <c r="U59" s="9" t="s">
        <v>217</v>
      </c>
    </row>
    <row r="60" spans="9:21" ht="54" x14ac:dyDescent="0.55000000000000004">
      <c r="I60" s="9" t="s">
        <v>201</v>
      </c>
      <c r="J60" s="9" t="s">
        <v>164</v>
      </c>
      <c r="K60" s="9">
        <v>9</v>
      </c>
      <c r="L60" s="9" t="s">
        <v>107</v>
      </c>
      <c r="M60" s="9" t="s">
        <v>219</v>
      </c>
      <c r="N60" s="9" t="s">
        <v>208</v>
      </c>
      <c r="O60" s="9" t="s">
        <v>205</v>
      </c>
      <c r="Q60" s="9">
        <v>109</v>
      </c>
      <c r="R60" s="9">
        <v>1</v>
      </c>
      <c r="S60" s="9" t="b">
        <v>0</v>
      </c>
      <c r="T60" s="9" t="b">
        <v>0</v>
      </c>
      <c r="U60" s="9" t="s">
        <v>220</v>
      </c>
    </row>
    <row r="61" spans="9:21" ht="54" x14ac:dyDescent="0.55000000000000004">
      <c r="I61" s="9" t="s">
        <v>201</v>
      </c>
      <c r="J61" s="9" t="s">
        <v>164</v>
      </c>
      <c r="K61" s="9">
        <v>8</v>
      </c>
      <c r="L61" s="9" t="s">
        <v>107</v>
      </c>
      <c r="M61" s="9" t="s">
        <v>221</v>
      </c>
      <c r="N61" s="9" t="s">
        <v>223</v>
      </c>
      <c r="O61" s="9" t="s">
        <v>205</v>
      </c>
      <c r="Q61" s="9">
        <v>118</v>
      </c>
      <c r="R61" s="9">
        <v>1</v>
      </c>
      <c r="S61" s="9" t="b">
        <v>0</v>
      </c>
      <c r="T61" s="9" t="b">
        <v>0</v>
      </c>
      <c r="U61" s="9" t="s">
        <v>222</v>
      </c>
    </row>
    <row r="62" spans="9:21" ht="36" x14ac:dyDescent="0.55000000000000004">
      <c r="I62" s="9" t="s">
        <v>201</v>
      </c>
      <c r="J62" s="9" t="s">
        <v>164</v>
      </c>
      <c r="K62" s="9">
        <v>7</v>
      </c>
      <c r="L62" s="9" t="s">
        <v>107</v>
      </c>
      <c r="M62" s="9" t="s">
        <v>224</v>
      </c>
      <c r="N62" s="9" t="s">
        <v>226</v>
      </c>
      <c r="O62" s="9" t="s">
        <v>205</v>
      </c>
      <c r="Q62" s="9">
        <v>126</v>
      </c>
      <c r="R62" s="9">
        <v>1</v>
      </c>
      <c r="S62" s="9" t="b">
        <v>0</v>
      </c>
      <c r="T62" s="9" t="b">
        <v>0</v>
      </c>
      <c r="U62" s="9" t="s">
        <v>225</v>
      </c>
    </row>
    <row r="63" spans="9:21" ht="54" x14ac:dyDescent="0.55000000000000004">
      <c r="I63" s="9" t="s">
        <v>201</v>
      </c>
      <c r="J63" s="9" t="s">
        <v>164</v>
      </c>
      <c r="K63" s="9">
        <v>16</v>
      </c>
      <c r="L63" s="9" t="s">
        <v>62</v>
      </c>
      <c r="M63" s="9" t="s">
        <v>227</v>
      </c>
      <c r="N63" s="9" t="s">
        <v>229</v>
      </c>
      <c r="Q63" s="9">
        <v>133</v>
      </c>
      <c r="R63" s="9">
        <v>1</v>
      </c>
      <c r="S63" s="9" t="b">
        <v>0</v>
      </c>
      <c r="T63" s="9" t="b">
        <v>0</v>
      </c>
      <c r="U63" s="9" t="s">
        <v>228</v>
      </c>
    </row>
    <row r="64" spans="9:21" ht="54" x14ac:dyDescent="0.55000000000000004">
      <c r="I64" s="9" t="s">
        <v>201</v>
      </c>
      <c r="J64" s="9" t="s">
        <v>164</v>
      </c>
      <c r="K64" s="9">
        <v>9</v>
      </c>
      <c r="L64" s="9" t="s">
        <v>62</v>
      </c>
      <c r="M64" s="9" t="s">
        <v>230</v>
      </c>
      <c r="N64" s="9" t="s">
        <v>232</v>
      </c>
      <c r="Q64" s="9">
        <v>149</v>
      </c>
      <c r="R64" s="9">
        <v>1</v>
      </c>
      <c r="S64" s="9" t="b">
        <v>0</v>
      </c>
      <c r="T64" s="9" t="b">
        <v>0</v>
      </c>
      <c r="U64" s="9" t="s">
        <v>231</v>
      </c>
    </row>
    <row r="65" spans="9:21" x14ac:dyDescent="0.55000000000000004">
      <c r="I65" s="9" t="s">
        <v>201</v>
      </c>
      <c r="J65" s="9" t="s">
        <v>164</v>
      </c>
      <c r="K65" s="9">
        <v>12</v>
      </c>
      <c r="L65" s="9" t="s">
        <v>62</v>
      </c>
      <c r="M65" s="9" t="s">
        <v>233</v>
      </c>
      <c r="N65" s="9" t="s">
        <v>92</v>
      </c>
      <c r="Q65" s="9">
        <v>157</v>
      </c>
      <c r="R65" s="9">
        <v>1</v>
      </c>
      <c r="S65" s="9" t="b">
        <v>0</v>
      </c>
      <c r="T65" s="9" t="b">
        <v>0</v>
      </c>
      <c r="U65" s="9" t="s">
        <v>234</v>
      </c>
    </row>
    <row r="66" spans="9:21" x14ac:dyDescent="0.55000000000000004">
      <c r="I66" s="9" t="s">
        <v>201</v>
      </c>
      <c r="J66" s="9" t="s">
        <v>164</v>
      </c>
      <c r="K66" s="9">
        <v>8</v>
      </c>
      <c r="L66" s="9" t="s">
        <v>62</v>
      </c>
      <c r="M66" s="9" t="s">
        <v>235</v>
      </c>
      <c r="N66" s="9" t="s">
        <v>78</v>
      </c>
      <c r="Q66" s="9">
        <v>170</v>
      </c>
      <c r="R66" s="9">
        <v>1</v>
      </c>
      <c r="S66" s="9" t="b">
        <v>0</v>
      </c>
      <c r="T66" s="9" t="b">
        <v>0</v>
      </c>
      <c r="U66" s="9" t="s">
        <v>236</v>
      </c>
    </row>
    <row r="67" spans="9:21" ht="36" x14ac:dyDescent="0.55000000000000004">
      <c r="I67" s="9" t="s">
        <v>201</v>
      </c>
      <c r="J67" s="9" t="s">
        <v>164</v>
      </c>
      <c r="K67" s="9">
        <v>7</v>
      </c>
      <c r="L67" s="9" t="s">
        <v>62</v>
      </c>
      <c r="M67" s="9" t="s">
        <v>237</v>
      </c>
      <c r="N67" s="9" t="s">
        <v>239</v>
      </c>
      <c r="Q67" s="9">
        <v>178</v>
      </c>
      <c r="R67" s="9">
        <v>1</v>
      </c>
      <c r="S67" s="9" t="b">
        <v>0</v>
      </c>
      <c r="T67" s="9" t="b">
        <v>0</v>
      </c>
      <c r="U67" s="9" t="s">
        <v>238</v>
      </c>
    </row>
    <row r="68" spans="9:21" ht="36" x14ac:dyDescent="0.55000000000000004">
      <c r="I68" s="9" t="s">
        <v>201</v>
      </c>
      <c r="J68" s="9" t="s">
        <v>164</v>
      </c>
      <c r="K68" s="9">
        <v>11</v>
      </c>
      <c r="L68" s="9" t="s">
        <v>70</v>
      </c>
      <c r="M68" s="9" t="s">
        <v>240</v>
      </c>
      <c r="N68" s="9" t="s">
        <v>242</v>
      </c>
      <c r="Q68" s="9">
        <v>185</v>
      </c>
      <c r="R68" s="9">
        <v>1</v>
      </c>
      <c r="S68" s="9" t="b">
        <v>0</v>
      </c>
      <c r="T68" s="9" t="b">
        <v>0</v>
      </c>
      <c r="U68" s="9" t="s">
        <v>241</v>
      </c>
    </row>
    <row r="69" spans="9:21" ht="54" x14ac:dyDescent="0.55000000000000004">
      <c r="I69" s="9" t="s">
        <v>201</v>
      </c>
      <c r="J69" s="9" t="s">
        <v>164</v>
      </c>
      <c r="K69" s="9">
        <v>8</v>
      </c>
      <c r="L69" s="9" t="s">
        <v>62</v>
      </c>
      <c r="M69" s="9" t="s">
        <v>243</v>
      </c>
      <c r="N69" s="9" t="s">
        <v>245</v>
      </c>
      <c r="Q69" s="9">
        <v>196</v>
      </c>
      <c r="R69" s="9">
        <v>1</v>
      </c>
      <c r="S69" s="9" t="b">
        <v>0</v>
      </c>
      <c r="T69" s="9" t="b">
        <v>0</v>
      </c>
      <c r="U69" s="9" t="s">
        <v>244</v>
      </c>
    </row>
    <row r="70" spans="9:21" ht="72" x14ac:dyDescent="0.55000000000000004">
      <c r="I70" s="9" t="s">
        <v>201</v>
      </c>
      <c r="J70" s="9" t="s">
        <v>164</v>
      </c>
      <c r="K70" s="9">
        <v>21</v>
      </c>
      <c r="L70" s="9" t="s">
        <v>62</v>
      </c>
      <c r="M70" s="9" t="s">
        <v>246</v>
      </c>
      <c r="N70" s="9" t="s">
        <v>248</v>
      </c>
      <c r="Q70" s="9">
        <v>204</v>
      </c>
      <c r="R70" s="9">
        <v>1</v>
      </c>
      <c r="S70" s="9" t="b">
        <v>0</v>
      </c>
      <c r="T70" s="9" t="b">
        <v>0</v>
      </c>
      <c r="U70" s="9" t="s">
        <v>247</v>
      </c>
    </row>
    <row r="71" spans="9:21" ht="72" x14ac:dyDescent="0.55000000000000004">
      <c r="I71" s="9" t="s">
        <v>201</v>
      </c>
      <c r="J71" s="9" t="s">
        <v>164</v>
      </c>
      <c r="K71" s="9">
        <v>22</v>
      </c>
      <c r="L71" s="9" t="s">
        <v>62</v>
      </c>
      <c r="M71" s="9" t="s">
        <v>249</v>
      </c>
      <c r="N71" s="9" t="s">
        <v>248</v>
      </c>
      <c r="Q71" s="9">
        <v>226</v>
      </c>
      <c r="R71" s="9">
        <v>1</v>
      </c>
      <c r="S71" s="9" t="b">
        <v>0</v>
      </c>
      <c r="T71" s="9" t="b">
        <v>0</v>
      </c>
      <c r="U71" s="9" t="s">
        <v>250</v>
      </c>
    </row>
    <row r="72" spans="9:21" ht="36" x14ac:dyDescent="0.55000000000000004">
      <c r="I72" s="9" t="s">
        <v>251</v>
      </c>
      <c r="J72" s="9" t="s">
        <v>164</v>
      </c>
      <c r="K72" s="9">
        <v>8</v>
      </c>
      <c r="L72" s="9" t="s">
        <v>70</v>
      </c>
      <c r="M72" s="9" t="s">
        <v>252</v>
      </c>
      <c r="N72" s="9" t="s">
        <v>254</v>
      </c>
      <c r="Q72" s="9">
        <v>2</v>
      </c>
      <c r="R72" s="9">
        <v>1</v>
      </c>
      <c r="S72" s="9" t="b">
        <v>0</v>
      </c>
      <c r="T72" s="9" t="b">
        <v>0</v>
      </c>
      <c r="U72" s="9" t="s">
        <v>253</v>
      </c>
    </row>
    <row r="73" spans="9:21" ht="90" x14ac:dyDescent="0.55000000000000004">
      <c r="I73" s="9" t="s">
        <v>251</v>
      </c>
      <c r="J73" s="9" t="s">
        <v>164</v>
      </c>
      <c r="K73" s="9">
        <v>5</v>
      </c>
      <c r="L73" s="9" t="s">
        <v>70</v>
      </c>
      <c r="M73" s="9" t="s">
        <v>255</v>
      </c>
      <c r="N73" s="9" t="s">
        <v>257</v>
      </c>
      <c r="Q73" s="9">
        <v>10</v>
      </c>
      <c r="R73" s="9">
        <v>1</v>
      </c>
      <c r="S73" s="9" t="b">
        <v>0</v>
      </c>
      <c r="T73" s="9" t="b">
        <v>0</v>
      </c>
      <c r="U73" s="9" t="s">
        <v>256</v>
      </c>
    </row>
    <row r="74" spans="9:21" ht="36" x14ac:dyDescent="0.55000000000000004">
      <c r="I74" s="9" t="s">
        <v>251</v>
      </c>
      <c r="J74" s="9" t="s">
        <v>164</v>
      </c>
      <c r="K74" s="9">
        <v>23</v>
      </c>
      <c r="L74" s="9" t="s">
        <v>70</v>
      </c>
      <c r="M74" s="9" t="s">
        <v>258</v>
      </c>
      <c r="N74" s="9" t="s">
        <v>260</v>
      </c>
      <c r="Q74" s="9">
        <v>15</v>
      </c>
      <c r="R74" s="9">
        <v>1</v>
      </c>
      <c r="S74" s="9" t="b">
        <v>0</v>
      </c>
      <c r="T74" s="9" t="b">
        <v>0</v>
      </c>
      <c r="U74" s="9" t="s">
        <v>259</v>
      </c>
    </row>
    <row r="75" spans="9:21" ht="36" x14ac:dyDescent="0.55000000000000004">
      <c r="I75" s="9" t="s">
        <v>251</v>
      </c>
      <c r="J75" s="9" t="s">
        <v>164</v>
      </c>
      <c r="K75" s="9">
        <v>21</v>
      </c>
      <c r="L75" s="9" t="s">
        <v>70</v>
      </c>
      <c r="M75" s="9" t="s">
        <v>261</v>
      </c>
      <c r="N75" s="9" t="s">
        <v>260</v>
      </c>
      <c r="Q75" s="9">
        <v>38</v>
      </c>
      <c r="R75" s="9">
        <v>1</v>
      </c>
      <c r="S75" s="9" t="b">
        <v>0</v>
      </c>
      <c r="T75" s="9" t="b">
        <v>0</v>
      </c>
      <c r="U75" s="9" t="s">
        <v>262</v>
      </c>
    </row>
    <row r="76" spans="9:21" ht="36" x14ac:dyDescent="0.55000000000000004">
      <c r="I76" s="9" t="s">
        <v>251</v>
      </c>
      <c r="J76" s="9" t="s">
        <v>164</v>
      </c>
      <c r="K76" s="9">
        <v>26</v>
      </c>
      <c r="L76" s="9" t="s">
        <v>70</v>
      </c>
      <c r="M76" s="9" t="s">
        <v>263</v>
      </c>
      <c r="N76" s="9" t="s">
        <v>260</v>
      </c>
      <c r="Q76" s="9">
        <v>59</v>
      </c>
      <c r="R76" s="9">
        <v>1</v>
      </c>
      <c r="S76" s="9" t="b">
        <v>0</v>
      </c>
      <c r="T76" s="9" t="b">
        <v>0</v>
      </c>
      <c r="U76" s="9" t="s">
        <v>264</v>
      </c>
    </row>
    <row r="77" spans="9:21" ht="36" x14ac:dyDescent="0.55000000000000004">
      <c r="I77" s="9" t="s">
        <v>251</v>
      </c>
      <c r="J77" s="9" t="s">
        <v>164</v>
      </c>
      <c r="K77" s="9">
        <v>34</v>
      </c>
      <c r="L77" s="9" t="s">
        <v>70</v>
      </c>
      <c r="M77" s="9" t="s">
        <v>265</v>
      </c>
      <c r="N77" s="9" t="s">
        <v>260</v>
      </c>
      <c r="Q77" s="9">
        <v>85</v>
      </c>
      <c r="R77" s="9">
        <v>1</v>
      </c>
      <c r="S77" s="9" t="b">
        <v>0</v>
      </c>
      <c r="T77" s="9" t="b">
        <v>0</v>
      </c>
      <c r="U77" s="9" t="s">
        <v>266</v>
      </c>
    </row>
    <row r="78" spans="9:21" ht="36" x14ac:dyDescent="0.55000000000000004">
      <c r="I78" s="9" t="s">
        <v>251</v>
      </c>
      <c r="J78" s="9" t="s">
        <v>164</v>
      </c>
      <c r="K78" s="9">
        <v>13</v>
      </c>
      <c r="L78" s="9" t="s">
        <v>62</v>
      </c>
      <c r="M78" s="9" t="s">
        <v>267</v>
      </c>
      <c r="N78" s="9" t="s">
        <v>269</v>
      </c>
      <c r="Q78" s="9">
        <v>119</v>
      </c>
      <c r="R78" s="9">
        <v>1</v>
      </c>
      <c r="S78" s="9" t="b">
        <v>0</v>
      </c>
      <c r="T78" s="9" t="b">
        <v>0</v>
      </c>
      <c r="U78" s="9" t="s">
        <v>268</v>
      </c>
    </row>
    <row r="79" spans="9:21" ht="90" x14ac:dyDescent="0.55000000000000004">
      <c r="I79" s="9" t="s">
        <v>270</v>
      </c>
      <c r="J79" s="9" t="s">
        <v>164</v>
      </c>
      <c r="K79" s="9">
        <v>20</v>
      </c>
      <c r="L79" s="9" t="s">
        <v>107</v>
      </c>
      <c r="M79" s="9" t="s">
        <v>271</v>
      </c>
      <c r="N79" s="9" t="s">
        <v>273</v>
      </c>
      <c r="O79" s="9" t="s">
        <v>205</v>
      </c>
      <c r="Q79" s="9">
        <v>1</v>
      </c>
      <c r="R79" s="9">
        <v>1</v>
      </c>
      <c r="S79" s="9" t="b">
        <v>0</v>
      </c>
      <c r="T79" s="9" t="b">
        <v>0</v>
      </c>
      <c r="U79" s="9" t="s">
        <v>272</v>
      </c>
    </row>
    <row r="80" spans="9:21" ht="90" x14ac:dyDescent="0.55000000000000004">
      <c r="I80" s="9" t="s">
        <v>270</v>
      </c>
      <c r="J80" s="9" t="s">
        <v>164</v>
      </c>
      <c r="K80" s="9">
        <v>10</v>
      </c>
      <c r="L80" s="9" t="s">
        <v>276</v>
      </c>
      <c r="M80" s="9" t="s">
        <v>274</v>
      </c>
      <c r="N80" s="9" t="s">
        <v>277</v>
      </c>
      <c r="Q80" s="9">
        <v>22</v>
      </c>
      <c r="R80" s="9">
        <v>1</v>
      </c>
      <c r="S80" s="9" t="b">
        <v>0</v>
      </c>
      <c r="T80" s="9" t="b">
        <v>0</v>
      </c>
      <c r="U80" s="9" t="s">
        <v>275</v>
      </c>
    </row>
    <row r="81" spans="9:21" ht="108" x14ac:dyDescent="0.55000000000000004">
      <c r="I81" s="9" t="s">
        <v>270</v>
      </c>
      <c r="J81" s="9" t="s">
        <v>164</v>
      </c>
      <c r="K81" s="9">
        <v>13</v>
      </c>
      <c r="L81" s="9" t="s">
        <v>70</v>
      </c>
      <c r="M81" s="9" t="s">
        <v>278</v>
      </c>
      <c r="N81" s="9" t="s">
        <v>280</v>
      </c>
      <c r="Q81" s="9">
        <v>32</v>
      </c>
      <c r="R81" s="9">
        <v>1</v>
      </c>
      <c r="S81" s="9" t="b">
        <v>0</v>
      </c>
      <c r="T81" s="9" t="b">
        <v>0</v>
      </c>
      <c r="U81" s="9" t="s">
        <v>279</v>
      </c>
    </row>
    <row r="82" spans="9:21" ht="54" x14ac:dyDescent="0.55000000000000004">
      <c r="I82" s="9" t="s">
        <v>270</v>
      </c>
      <c r="J82" s="9" t="s">
        <v>164</v>
      </c>
      <c r="K82" s="9">
        <v>18</v>
      </c>
      <c r="L82" s="9" t="s">
        <v>62</v>
      </c>
      <c r="M82" s="9" t="s">
        <v>281</v>
      </c>
      <c r="N82" s="9" t="s">
        <v>283</v>
      </c>
      <c r="Q82" s="9">
        <v>45</v>
      </c>
      <c r="R82" s="9">
        <v>1</v>
      </c>
      <c r="S82" s="9" t="b">
        <v>0</v>
      </c>
      <c r="T82" s="9" t="b">
        <v>0</v>
      </c>
      <c r="U82" s="9" t="s">
        <v>282</v>
      </c>
    </row>
    <row r="83" spans="9:21" ht="36" x14ac:dyDescent="0.55000000000000004">
      <c r="I83" s="9" t="s">
        <v>270</v>
      </c>
      <c r="J83" s="9" t="s">
        <v>164</v>
      </c>
      <c r="K83" s="9">
        <v>22</v>
      </c>
      <c r="L83" s="9" t="s">
        <v>62</v>
      </c>
      <c r="M83" s="9" t="s">
        <v>284</v>
      </c>
      <c r="N83" s="9" t="s">
        <v>286</v>
      </c>
      <c r="Q83" s="9">
        <v>63</v>
      </c>
      <c r="R83" s="9">
        <v>1</v>
      </c>
      <c r="S83" s="9" t="b">
        <v>0</v>
      </c>
      <c r="T83" s="9" t="b">
        <v>0</v>
      </c>
      <c r="U83" s="9" t="s">
        <v>285</v>
      </c>
    </row>
    <row r="84" spans="9:21" x14ac:dyDescent="0.55000000000000004">
      <c r="I84" s="9" t="s">
        <v>287</v>
      </c>
      <c r="J84" s="9" t="s">
        <v>164</v>
      </c>
      <c r="K84" s="9">
        <v>11</v>
      </c>
      <c r="L84" s="9" t="s">
        <v>70</v>
      </c>
      <c r="M84" s="9" t="s">
        <v>288</v>
      </c>
      <c r="Q84" s="9">
        <v>1</v>
      </c>
      <c r="R84" s="9">
        <v>1</v>
      </c>
      <c r="S84" s="9" t="b">
        <v>0</v>
      </c>
      <c r="T84" s="9" t="b">
        <v>0</v>
      </c>
      <c r="U84" s="9" t="s">
        <v>289</v>
      </c>
    </row>
    <row r="85" spans="9:21" ht="54" x14ac:dyDescent="0.55000000000000004">
      <c r="I85" s="9" t="s">
        <v>287</v>
      </c>
      <c r="J85" s="9" t="s">
        <v>164</v>
      </c>
      <c r="K85" s="9">
        <v>2</v>
      </c>
      <c r="L85" s="9" t="s">
        <v>62</v>
      </c>
      <c r="M85" s="9" t="s">
        <v>290</v>
      </c>
      <c r="N85" s="9" t="s">
        <v>292</v>
      </c>
      <c r="Q85" s="9">
        <v>13</v>
      </c>
      <c r="R85" s="9">
        <v>1</v>
      </c>
      <c r="S85" s="9" t="b">
        <v>0</v>
      </c>
      <c r="T85" s="9" t="b">
        <v>1</v>
      </c>
      <c r="U85" s="9" t="s">
        <v>291</v>
      </c>
    </row>
    <row r="86" spans="9:21" x14ac:dyDescent="0.55000000000000004">
      <c r="I86" s="9" t="s">
        <v>287</v>
      </c>
      <c r="J86" s="9" t="s">
        <v>164</v>
      </c>
      <c r="K86" s="9">
        <v>5</v>
      </c>
      <c r="L86" s="9" t="s">
        <v>70</v>
      </c>
      <c r="M86" s="9" t="s">
        <v>293</v>
      </c>
      <c r="Q86" s="9">
        <v>15</v>
      </c>
      <c r="R86" s="9">
        <v>1</v>
      </c>
      <c r="S86" s="9" t="b">
        <v>0</v>
      </c>
      <c r="T86" s="9" t="b">
        <v>0</v>
      </c>
      <c r="U86" s="9" t="s">
        <v>294</v>
      </c>
    </row>
    <row r="87" spans="9:21" x14ac:dyDescent="0.55000000000000004">
      <c r="I87" s="9" t="s">
        <v>287</v>
      </c>
      <c r="J87" s="9" t="s">
        <v>164</v>
      </c>
      <c r="K87" s="9">
        <v>5</v>
      </c>
      <c r="L87" s="9" t="s">
        <v>70</v>
      </c>
      <c r="M87" s="9" t="s">
        <v>295</v>
      </c>
      <c r="Q87" s="9">
        <v>20</v>
      </c>
      <c r="R87" s="9">
        <v>1</v>
      </c>
      <c r="S87" s="9" t="b">
        <v>0</v>
      </c>
      <c r="T87" s="9" t="b">
        <v>0</v>
      </c>
      <c r="U87" s="9" t="s">
        <v>296</v>
      </c>
    </row>
    <row r="88" spans="9:21" x14ac:dyDescent="0.55000000000000004">
      <c r="I88" s="9" t="s">
        <v>287</v>
      </c>
      <c r="J88" s="9" t="s">
        <v>164</v>
      </c>
      <c r="K88" s="9">
        <v>15</v>
      </c>
      <c r="L88" s="9" t="s">
        <v>70</v>
      </c>
      <c r="M88" s="9" t="s">
        <v>297</v>
      </c>
      <c r="Q88" s="9">
        <v>25</v>
      </c>
      <c r="R88" s="9">
        <v>1</v>
      </c>
      <c r="S88" s="9" t="b">
        <v>0</v>
      </c>
      <c r="T88" s="9" t="b">
        <v>0</v>
      </c>
      <c r="U88" s="9" t="s">
        <v>298</v>
      </c>
    </row>
    <row r="89" spans="9:21" x14ac:dyDescent="0.55000000000000004">
      <c r="I89" s="9" t="s">
        <v>287</v>
      </c>
      <c r="J89" s="9" t="s">
        <v>164</v>
      </c>
      <c r="K89" s="9">
        <v>9</v>
      </c>
      <c r="L89" s="9" t="s">
        <v>70</v>
      </c>
      <c r="M89" s="9" t="s">
        <v>299</v>
      </c>
      <c r="Q89" s="9">
        <v>40</v>
      </c>
      <c r="R89" s="9">
        <v>1</v>
      </c>
      <c r="S89" s="9" t="b">
        <v>0</v>
      </c>
      <c r="T89" s="9" t="b">
        <v>0</v>
      </c>
      <c r="U89" s="9" t="s">
        <v>300</v>
      </c>
    </row>
    <row r="90" spans="9:21" x14ac:dyDescent="0.55000000000000004">
      <c r="I90" s="9" t="s">
        <v>287</v>
      </c>
      <c r="J90" s="9" t="s">
        <v>164</v>
      </c>
      <c r="K90" s="9">
        <v>17</v>
      </c>
      <c r="L90" s="9" t="s">
        <v>70</v>
      </c>
      <c r="M90" s="9" t="s">
        <v>301</v>
      </c>
      <c r="Q90" s="9">
        <v>49</v>
      </c>
      <c r="R90" s="9">
        <v>1</v>
      </c>
      <c r="S90" s="9" t="b">
        <v>0</v>
      </c>
      <c r="T90" s="9" t="b">
        <v>0</v>
      </c>
      <c r="U90" s="9" t="s">
        <v>302</v>
      </c>
    </row>
    <row r="91" spans="9:21" x14ac:dyDescent="0.55000000000000004">
      <c r="I91" s="9" t="s">
        <v>287</v>
      </c>
      <c r="J91" s="9" t="s">
        <v>164</v>
      </c>
      <c r="K91" s="9">
        <v>24</v>
      </c>
      <c r="L91" s="9" t="s">
        <v>70</v>
      </c>
      <c r="M91" s="9" t="s">
        <v>303</v>
      </c>
      <c r="Q91" s="9">
        <v>66</v>
      </c>
      <c r="R91" s="9">
        <v>1</v>
      </c>
      <c r="S91" s="9" t="b">
        <v>0</v>
      </c>
      <c r="T91" s="9" t="b">
        <v>0</v>
      </c>
      <c r="U91" s="9" t="s">
        <v>304</v>
      </c>
    </row>
    <row r="92" spans="9:21" x14ac:dyDescent="0.55000000000000004">
      <c r="I92" s="9" t="s">
        <v>287</v>
      </c>
      <c r="J92" s="9" t="s">
        <v>164</v>
      </c>
      <c r="K92" s="9">
        <v>20</v>
      </c>
      <c r="L92" s="9" t="s">
        <v>70</v>
      </c>
      <c r="M92" s="9" t="s">
        <v>305</v>
      </c>
      <c r="Q92" s="9">
        <v>90</v>
      </c>
      <c r="R92" s="9">
        <v>1</v>
      </c>
      <c r="S92" s="9" t="b">
        <v>0</v>
      </c>
      <c r="T92" s="9" t="b">
        <v>0</v>
      </c>
      <c r="U92" s="9" t="s">
        <v>306</v>
      </c>
    </row>
    <row r="93" spans="9:21" x14ac:dyDescent="0.55000000000000004">
      <c r="I93" s="9" t="s">
        <v>287</v>
      </c>
      <c r="J93" s="9" t="s">
        <v>164</v>
      </c>
      <c r="K93" s="9">
        <v>7</v>
      </c>
      <c r="L93" s="9" t="s">
        <v>70</v>
      </c>
      <c r="M93" s="9" t="s">
        <v>307</v>
      </c>
      <c r="Q93" s="9">
        <v>109</v>
      </c>
      <c r="R93" s="9">
        <v>1</v>
      </c>
      <c r="S93" s="9" t="b">
        <v>0</v>
      </c>
      <c r="T93" s="9" t="b">
        <v>0</v>
      </c>
      <c r="U93" s="9" t="s">
        <v>308</v>
      </c>
    </row>
    <row r="94" spans="9:21" x14ac:dyDescent="0.55000000000000004">
      <c r="I94" s="9" t="s">
        <v>287</v>
      </c>
      <c r="J94" s="9" t="s">
        <v>164</v>
      </c>
      <c r="K94" s="9">
        <v>13</v>
      </c>
      <c r="L94" s="9" t="s">
        <v>70</v>
      </c>
      <c r="M94" s="9" t="s">
        <v>309</v>
      </c>
      <c r="Q94" s="9">
        <v>116</v>
      </c>
      <c r="R94" s="9">
        <v>1</v>
      </c>
      <c r="S94" s="9" t="b">
        <v>0</v>
      </c>
      <c r="T94" s="9" t="b">
        <v>0</v>
      </c>
      <c r="U94" s="9" t="s">
        <v>310</v>
      </c>
    </row>
    <row r="95" spans="9:21" x14ac:dyDescent="0.55000000000000004">
      <c r="I95" s="9" t="s">
        <v>287</v>
      </c>
      <c r="J95" s="9" t="s">
        <v>164</v>
      </c>
      <c r="K95" s="9">
        <v>5</v>
      </c>
      <c r="L95" s="9" t="s">
        <v>70</v>
      </c>
      <c r="M95" s="9" t="s">
        <v>311</v>
      </c>
      <c r="Q95" s="9">
        <v>129</v>
      </c>
      <c r="R95" s="9">
        <v>1</v>
      </c>
      <c r="S95" s="9" t="b">
        <v>0</v>
      </c>
      <c r="T95" s="9" t="b">
        <v>0</v>
      </c>
      <c r="U95" s="9" t="s">
        <v>312</v>
      </c>
    </row>
    <row r="96" spans="9:21" x14ac:dyDescent="0.55000000000000004">
      <c r="I96" s="9" t="s">
        <v>287</v>
      </c>
      <c r="J96" s="9" t="s">
        <v>164</v>
      </c>
      <c r="K96" s="9">
        <v>24</v>
      </c>
      <c r="L96" s="9" t="s">
        <v>70</v>
      </c>
      <c r="M96" s="9" t="s">
        <v>313</v>
      </c>
      <c r="Q96" s="9">
        <v>134</v>
      </c>
      <c r="R96" s="9">
        <v>1</v>
      </c>
      <c r="S96" s="9" t="b">
        <v>0</v>
      </c>
      <c r="T96" s="9" t="b">
        <v>0</v>
      </c>
      <c r="U96" s="9" t="s">
        <v>314</v>
      </c>
    </row>
    <row r="97" spans="9:21" x14ac:dyDescent="0.55000000000000004">
      <c r="I97" s="9" t="s">
        <v>287</v>
      </c>
      <c r="J97" s="9" t="s">
        <v>164</v>
      </c>
      <c r="K97" s="9">
        <v>24</v>
      </c>
      <c r="L97" s="9" t="s">
        <v>70</v>
      </c>
      <c r="M97" s="9" t="s">
        <v>315</v>
      </c>
      <c r="Q97" s="9">
        <v>158</v>
      </c>
      <c r="R97" s="9">
        <v>1</v>
      </c>
      <c r="S97" s="9" t="b">
        <v>0</v>
      </c>
      <c r="T97" s="9" t="b">
        <v>0</v>
      </c>
      <c r="U97" s="9" t="s">
        <v>316</v>
      </c>
    </row>
    <row r="98" spans="9:21" x14ac:dyDescent="0.55000000000000004">
      <c r="I98" s="9" t="s">
        <v>287</v>
      </c>
      <c r="J98" s="9" t="s">
        <v>164</v>
      </c>
      <c r="K98" s="9">
        <v>24</v>
      </c>
      <c r="L98" s="9" t="s">
        <v>70</v>
      </c>
      <c r="M98" s="9" t="s">
        <v>317</v>
      </c>
      <c r="Q98" s="9">
        <v>182</v>
      </c>
      <c r="R98" s="9">
        <v>1</v>
      </c>
      <c r="S98" s="9" t="b">
        <v>0</v>
      </c>
      <c r="T98" s="9" t="b">
        <v>0</v>
      </c>
      <c r="U98" s="9" t="s">
        <v>318</v>
      </c>
    </row>
    <row r="99" spans="9:21" x14ac:dyDescent="0.55000000000000004">
      <c r="I99" s="9" t="s">
        <v>287</v>
      </c>
      <c r="J99" s="9" t="s">
        <v>164</v>
      </c>
      <c r="K99" s="9">
        <v>32</v>
      </c>
      <c r="L99" s="9" t="s">
        <v>70</v>
      </c>
      <c r="M99" s="9" t="s">
        <v>319</v>
      </c>
      <c r="Q99" s="9">
        <v>207</v>
      </c>
      <c r="R99" s="9">
        <v>1</v>
      </c>
      <c r="S99" s="9" t="b">
        <v>0</v>
      </c>
      <c r="T99" s="9" t="b">
        <v>0</v>
      </c>
      <c r="U99" s="9" t="s">
        <v>320</v>
      </c>
    </row>
    <row r="100" spans="9:21" x14ac:dyDescent="0.55000000000000004">
      <c r="I100" s="9" t="s">
        <v>287</v>
      </c>
      <c r="J100" s="9" t="s">
        <v>164</v>
      </c>
      <c r="K100" s="9">
        <v>5</v>
      </c>
      <c r="L100" s="9" t="s">
        <v>70</v>
      </c>
      <c r="M100" s="9" t="s">
        <v>321</v>
      </c>
      <c r="Q100" s="9">
        <v>238</v>
      </c>
      <c r="R100" s="9">
        <v>1</v>
      </c>
      <c r="S100" s="9" t="b">
        <v>0</v>
      </c>
      <c r="T100" s="9" t="b">
        <v>0</v>
      </c>
      <c r="U100" s="9" t="s">
        <v>322</v>
      </c>
    </row>
    <row r="101" spans="9:21" x14ac:dyDescent="0.55000000000000004">
      <c r="I101" s="9" t="s">
        <v>287</v>
      </c>
      <c r="J101" s="9" t="s">
        <v>164</v>
      </c>
      <c r="K101" s="9">
        <v>33</v>
      </c>
      <c r="L101" s="9" t="s">
        <v>70</v>
      </c>
      <c r="M101" s="9" t="s">
        <v>323</v>
      </c>
      <c r="Q101" s="9">
        <v>243</v>
      </c>
      <c r="R101" s="9">
        <v>1</v>
      </c>
      <c r="S101" s="9" t="b">
        <v>0</v>
      </c>
      <c r="T101" s="9" t="b">
        <v>0</v>
      </c>
      <c r="U101" s="9" t="s">
        <v>324</v>
      </c>
    </row>
    <row r="102" spans="9:21" x14ac:dyDescent="0.55000000000000004">
      <c r="I102" s="9" t="s">
        <v>287</v>
      </c>
      <c r="J102" s="9" t="s">
        <v>164</v>
      </c>
      <c r="K102" s="9">
        <v>12</v>
      </c>
      <c r="L102" s="9" t="s">
        <v>70</v>
      </c>
      <c r="M102" s="9" t="s">
        <v>325</v>
      </c>
      <c r="Q102" s="9">
        <v>277</v>
      </c>
      <c r="R102" s="9">
        <v>1</v>
      </c>
      <c r="S102" s="9" t="b">
        <v>0</v>
      </c>
      <c r="T102" s="9" t="b">
        <v>0</v>
      </c>
      <c r="U102" s="9" t="s">
        <v>326</v>
      </c>
    </row>
    <row r="103" spans="9:21" x14ac:dyDescent="0.55000000000000004">
      <c r="I103" s="9" t="s">
        <v>287</v>
      </c>
      <c r="J103" s="9" t="s">
        <v>164</v>
      </c>
      <c r="K103" s="9">
        <v>7</v>
      </c>
      <c r="L103" s="9" t="s">
        <v>70</v>
      </c>
      <c r="M103" s="9" t="s">
        <v>327</v>
      </c>
      <c r="Q103" s="9">
        <v>289</v>
      </c>
      <c r="R103" s="9">
        <v>1</v>
      </c>
      <c r="S103" s="9" t="b">
        <v>0</v>
      </c>
      <c r="T103" s="9" t="b">
        <v>0</v>
      </c>
      <c r="U103" s="9" t="s">
        <v>328</v>
      </c>
    </row>
    <row r="104" spans="9:21" x14ac:dyDescent="0.55000000000000004">
      <c r="I104" s="9" t="s">
        <v>287</v>
      </c>
      <c r="J104" s="9" t="s">
        <v>164</v>
      </c>
      <c r="K104" s="9">
        <v>7</v>
      </c>
      <c r="L104" s="9" t="s">
        <v>70</v>
      </c>
      <c r="M104" s="9" t="s">
        <v>329</v>
      </c>
      <c r="Q104" s="9">
        <v>296</v>
      </c>
      <c r="R104" s="9">
        <v>1</v>
      </c>
      <c r="S104" s="9" t="b">
        <v>0</v>
      </c>
      <c r="T104" s="9" t="b">
        <v>0</v>
      </c>
      <c r="U104" s="9" t="s">
        <v>330</v>
      </c>
    </row>
    <row r="105" spans="9:21" x14ac:dyDescent="0.55000000000000004">
      <c r="I105" s="9" t="s">
        <v>287</v>
      </c>
      <c r="J105" s="9" t="s">
        <v>164</v>
      </c>
      <c r="K105" s="9">
        <v>7</v>
      </c>
      <c r="L105" s="9" t="s">
        <v>70</v>
      </c>
      <c r="M105" s="9" t="s">
        <v>331</v>
      </c>
      <c r="Q105" s="9">
        <v>303</v>
      </c>
      <c r="R105" s="9">
        <v>1</v>
      </c>
      <c r="S105" s="9" t="b">
        <v>0</v>
      </c>
      <c r="T105" s="9" t="b">
        <v>0</v>
      </c>
      <c r="U105" s="9" t="s">
        <v>332</v>
      </c>
    </row>
    <row r="106" spans="9:21" x14ac:dyDescent="0.55000000000000004">
      <c r="I106" s="9" t="s">
        <v>287</v>
      </c>
      <c r="J106" s="9" t="s">
        <v>164</v>
      </c>
      <c r="K106" s="9">
        <v>6</v>
      </c>
      <c r="L106" s="9" t="s">
        <v>70</v>
      </c>
      <c r="M106" s="9" t="s">
        <v>333</v>
      </c>
      <c r="Q106" s="9">
        <v>310</v>
      </c>
      <c r="R106" s="9">
        <v>1</v>
      </c>
      <c r="S106" s="9" t="b">
        <v>0</v>
      </c>
      <c r="T106" s="9" t="b">
        <v>0</v>
      </c>
      <c r="U106" s="9" t="s">
        <v>334</v>
      </c>
    </row>
    <row r="107" spans="9:21" x14ac:dyDescent="0.55000000000000004">
      <c r="I107" s="9" t="s">
        <v>287</v>
      </c>
      <c r="J107" s="9" t="s">
        <v>164</v>
      </c>
      <c r="K107" s="9">
        <v>15</v>
      </c>
      <c r="L107" s="9" t="s">
        <v>70</v>
      </c>
      <c r="M107" s="9" t="s">
        <v>335</v>
      </c>
      <c r="Q107" s="9">
        <v>316</v>
      </c>
      <c r="R107" s="9">
        <v>1</v>
      </c>
      <c r="S107" s="9" t="b">
        <v>0</v>
      </c>
      <c r="T107" s="9" t="b">
        <v>0</v>
      </c>
      <c r="U107" s="9" t="s">
        <v>336</v>
      </c>
    </row>
    <row r="108" spans="9:21" x14ac:dyDescent="0.55000000000000004">
      <c r="I108" s="9" t="s">
        <v>287</v>
      </c>
      <c r="J108" s="9" t="s">
        <v>164</v>
      </c>
      <c r="K108" s="9">
        <v>17</v>
      </c>
      <c r="L108" s="9" t="s">
        <v>70</v>
      </c>
      <c r="M108" s="9" t="s">
        <v>337</v>
      </c>
      <c r="Q108" s="9">
        <v>331</v>
      </c>
      <c r="R108" s="9">
        <v>1</v>
      </c>
      <c r="S108" s="9" t="b">
        <v>0</v>
      </c>
      <c r="T108" s="9" t="b">
        <v>0</v>
      </c>
      <c r="U108" s="9" t="s">
        <v>338</v>
      </c>
    </row>
    <row r="109" spans="9:21" x14ac:dyDescent="0.55000000000000004">
      <c r="I109" s="9" t="s">
        <v>287</v>
      </c>
      <c r="J109" s="9" t="s">
        <v>164</v>
      </c>
      <c r="K109" s="9">
        <v>17</v>
      </c>
      <c r="L109" s="9" t="s">
        <v>70</v>
      </c>
      <c r="M109" s="9" t="s">
        <v>339</v>
      </c>
      <c r="Q109" s="9">
        <v>348</v>
      </c>
      <c r="R109" s="9">
        <v>1</v>
      </c>
      <c r="S109" s="9" t="b">
        <v>0</v>
      </c>
      <c r="T109" s="9" t="b">
        <v>0</v>
      </c>
      <c r="U109" s="9" t="s">
        <v>340</v>
      </c>
    </row>
    <row r="110" spans="9:21" x14ac:dyDescent="0.55000000000000004">
      <c r="I110" s="9" t="s">
        <v>287</v>
      </c>
      <c r="J110" s="9" t="s">
        <v>164</v>
      </c>
      <c r="K110" s="9">
        <v>9</v>
      </c>
      <c r="L110" s="9" t="s">
        <v>70</v>
      </c>
      <c r="M110" s="9" t="s">
        <v>341</v>
      </c>
      <c r="Q110" s="9">
        <v>365</v>
      </c>
      <c r="R110" s="9">
        <v>1</v>
      </c>
      <c r="S110" s="9" t="b">
        <v>0</v>
      </c>
      <c r="T110" s="9" t="b">
        <v>0</v>
      </c>
      <c r="U110" s="9" t="s">
        <v>342</v>
      </c>
    </row>
    <row r="111" spans="9:21" x14ac:dyDescent="0.55000000000000004">
      <c r="I111" s="9" t="s">
        <v>287</v>
      </c>
      <c r="J111" s="9" t="s">
        <v>164</v>
      </c>
      <c r="K111" s="9">
        <v>13</v>
      </c>
      <c r="L111" s="9" t="s">
        <v>70</v>
      </c>
      <c r="M111" s="9" t="s">
        <v>343</v>
      </c>
      <c r="Q111" s="9">
        <v>374</v>
      </c>
      <c r="R111" s="9">
        <v>1</v>
      </c>
      <c r="S111" s="9" t="b">
        <v>0</v>
      </c>
      <c r="T111" s="9" t="b">
        <v>0</v>
      </c>
      <c r="U111" s="9" t="s">
        <v>344</v>
      </c>
    </row>
    <row r="112" spans="9:21" x14ac:dyDescent="0.55000000000000004">
      <c r="I112" s="9" t="s">
        <v>287</v>
      </c>
      <c r="J112" s="9" t="s">
        <v>164</v>
      </c>
      <c r="K112" s="9">
        <v>19</v>
      </c>
      <c r="L112" s="9" t="s">
        <v>70</v>
      </c>
      <c r="M112" s="9" t="s">
        <v>345</v>
      </c>
      <c r="Q112" s="9">
        <v>387</v>
      </c>
      <c r="R112" s="9">
        <v>1</v>
      </c>
      <c r="S112" s="9" t="b">
        <v>0</v>
      </c>
      <c r="T112" s="9" t="b">
        <v>0</v>
      </c>
      <c r="U112" s="9" t="s">
        <v>346</v>
      </c>
    </row>
    <row r="113" spans="9:21" x14ac:dyDescent="0.55000000000000004">
      <c r="I113" s="9" t="s">
        <v>287</v>
      </c>
      <c r="J113" s="9" t="s">
        <v>164</v>
      </c>
      <c r="K113" s="9">
        <v>19</v>
      </c>
      <c r="L113" s="9" t="s">
        <v>70</v>
      </c>
      <c r="M113" s="9" t="s">
        <v>347</v>
      </c>
      <c r="Q113" s="9">
        <v>406</v>
      </c>
      <c r="R113" s="9">
        <v>1</v>
      </c>
      <c r="S113" s="9" t="b">
        <v>0</v>
      </c>
      <c r="T113" s="9" t="b">
        <v>0</v>
      </c>
      <c r="U113" s="9" t="s">
        <v>348</v>
      </c>
    </row>
    <row r="114" spans="9:21" x14ac:dyDescent="0.55000000000000004">
      <c r="I114" s="9" t="s">
        <v>287</v>
      </c>
      <c r="J114" s="9" t="s">
        <v>164</v>
      </c>
      <c r="K114" s="9">
        <v>21</v>
      </c>
      <c r="L114" s="9" t="s">
        <v>70</v>
      </c>
      <c r="M114" s="9" t="s">
        <v>349</v>
      </c>
      <c r="Q114" s="9">
        <v>425</v>
      </c>
      <c r="R114" s="9">
        <v>1</v>
      </c>
      <c r="S114" s="9" t="b">
        <v>0</v>
      </c>
      <c r="T114" s="9" t="b">
        <v>0</v>
      </c>
      <c r="U114" s="9" t="s">
        <v>350</v>
      </c>
    </row>
    <row r="115" spans="9:21" x14ac:dyDescent="0.55000000000000004">
      <c r="I115" s="9" t="s">
        <v>287</v>
      </c>
      <c r="J115" s="9" t="s">
        <v>164</v>
      </c>
      <c r="K115" s="9">
        <v>26</v>
      </c>
      <c r="L115" s="9" t="s">
        <v>70</v>
      </c>
      <c r="M115" s="9" t="s">
        <v>351</v>
      </c>
      <c r="Q115" s="9">
        <v>446</v>
      </c>
      <c r="R115" s="9">
        <v>1</v>
      </c>
      <c r="S115" s="9" t="b">
        <v>0</v>
      </c>
      <c r="T115" s="9" t="b">
        <v>0</v>
      </c>
      <c r="U115" s="9" t="s">
        <v>352</v>
      </c>
    </row>
    <row r="116" spans="9:21" x14ac:dyDescent="0.55000000000000004">
      <c r="I116" s="9" t="s">
        <v>287</v>
      </c>
      <c r="J116" s="9" t="s">
        <v>164</v>
      </c>
      <c r="K116" s="9">
        <v>18</v>
      </c>
      <c r="L116" s="9" t="s">
        <v>70</v>
      </c>
      <c r="M116" s="9" t="s">
        <v>353</v>
      </c>
      <c r="Q116" s="9">
        <v>472</v>
      </c>
      <c r="R116" s="9">
        <v>1</v>
      </c>
      <c r="S116" s="9" t="b">
        <v>0</v>
      </c>
      <c r="T116" s="9" t="b">
        <v>0</v>
      </c>
      <c r="U116" s="9" t="s">
        <v>354</v>
      </c>
    </row>
    <row r="117" spans="9:21" x14ac:dyDescent="0.55000000000000004">
      <c r="I117" s="9" t="s">
        <v>287</v>
      </c>
      <c r="J117" s="9" t="s">
        <v>164</v>
      </c>
      <c r="K117" s="9">
        <v>26</v>
      </c>
      <c r="L117" s="9" t="s">
        <v>70</v>
      </c>
      <c r="M117" s="9" t="s">
        <v>355</v>
      </c>
      <c r="Q117" s="9">
        <v>490</v>
      </c>
      <c r="R117" s="9">
        <v>1</v>
      </c>
      <c r="S117" s="9" t="b">
        <v>0</v>
      </c>
      <c r="T117" s="9" t="b">
        <v>0</v>
      </c>
      <c r="U117" s="9" t="s">
        <v>356</v>
      </c>
    </row>
    <row r="118" spans="9:21" x14ac:dyDescent="0.55000000000000004">
      <c r="I118" s="9" t="s">
        <v>287</v>
      </c>
      <c r="J118" s="9" t="s">
        <v>164</v>
      </c>
      <c r="K118" s="9">
        <v>17</v>
      </c>
      <c r="L118" s="9" t="s">
        <v>70</v>
      </c>
      <c r="M118" s="9" t="s">
        <v>357</v>
      </c>
      <c r="Q118" s="9">
        <v>516</v>
      </c>
      <c r="R118" s="9">
        <v>1</v>
      </c>
      <c r="S118" s="9" t="b">
        <v>0</v>
      </c>
      <c r="T118" s="9" t="b">
        <v>0</v>
      </c>
      <c r="U118" s="9" t="s">
        <v>358</v>
      </c>
    </row>
    <row r="119" spans="9:21" x14ac:dyDescent="0.55000000000000004">
      <c r="I119" s="9" t="s">
        <v>287</v>
      </c>
      <c r="J119" s="9" t="s">
        <v>164</v>
      </c>
      <c r="K119" s="9">
        <v>35</v>
      </c>
      <c r="L119" s="9" t="s">
        <v>70</v>
      </c>
      <c r="M119" s="9" t="s">
        <v>359</v>
      </c>
      <c r="Q119" s="9">
        <v>533</v>
      </c>
      <c r="R119" s="9">
        <v>1</v>
      </c>
      <c r="S119" s="9" t="b">
        <v>0</v>
      </c>
      <c r="T119" s="9" t="b">
        <v>0</v>
      </c>
      <c r="U119" s="9" t="s">
        <v>360</v>
      </c>
    </row>
    <row r="120" spans="9:21" x14ac:dyDescent="0.55000000000000004">
      <c r="I120" s="9" t="s">
        <v>287</v>
      </c>
      <c r="J120" s="9" t="s">
        <v>164</v>
      </c>
      <c r="K120" s="9">
        <v>15</v>
      </c>
      <c r="L120" s="9" t="s">
        <v>70</v>
      </c>
      <c r="M120" s="9" t="s">
        <v>361</v>
      </c>
      <c r="Q120" s="9">
        <v>568</v>
      </c>
      <c r="R120" s="9">
        <v>1</v>
      </c>
      <c r="S120" s="9" t="b">
        <v>0</v>
      </c>
      <c r="T120" s="9" t="b">
        <v>0</v>
      </c>
      <c r="U120" s="9" t="s">
        <v>362</v>
      </c>
    </row>
    <row r="121" spans="9:21" x14ac:dyDescent="0.55000000000000004">
      <c r="I121" s="9" t="s">
        <v>287</v>
      </c>
      <c r="J121" s="9" t="s">
        <v>164</v>
      </c>
      <c r="K121" s="9">
        <v>6</v>
      </c>
      <c r="L121" s="9" t="s">
        <v>70</v>
      </c>
      <c r="M121" s="9" t="s">
        <v>363</v>
      </c>
      <c r="Q121" s="9">
        <v>583</v>
      </c>
      <c r="R121" s="9">
        <v>1</v>
      </c>
      <c r="S121" s="9" t="b">
        <v>0</v>
      </c>
      <c r="T121" s="9" t="b">
        <v>0</v>
      </c>
      <c r="U121" s="9" t="s">
        <v>364</v>
      </c>
    </row>
    <row r="122" spans="9:21" x14ac:dyDescent="0.55000000000000004">
      <c r="I122" s="9" t="s">
        <v>287</v>
      </c>
      <c r="J122" s="9" t="s">
        <v>164</v>
      </c>
      <c r="K122" s="9">
        <v>22</v>
      </c>
      <c r="L122" s="9" t="s">
        <v>70</v>
      </c>
      <c r="M122" s="9" t="s">
        <v>365</v>
      </c>
      <c r="Q122" s="9">
        <v>589</v>
      </c>
      <c r="R122" s="9">
        <v>1</v>
      </c>
      <c r="S122" s="9" t="b">
        <v>0</v>
      </c>
      <c r="T122" s="9" t="b">
        <v>0</v>
      </c>
      <c r="U122" s="9" t="s">
        <v>366</v>
      </c>
    </row>
    <row r="123" spans="9:21" ht="90" x14ac:dyDescent="0.55000000000000004">
      <c r="I123" s="9" t="s">
        <v>287</v>
      </c>
      <c r="J123" s="9" t="s">
        <v>164</v>
      </c>
      <c r="K123" s="9">
        <v>7</v>
      </c>
      <c r="L123" s="9" t="s">
        <v>62</v>
      </c>
      <c r="M123" s="9" t="s">
        <v>367</v>
      </c>
      <c r="N123" s="9" t="s">
        <v>157</v>
      </c>
      <c r="Q123" s="9">
        <v>611</v>
      </c>
      <c r="R123" s="9">
        <v>1</v>
      </c>
      <c r="S123" s="9" t="b">
        <v>0</v>
      </c>
      <c r="T123" s="9" t="b">
        <v>0</v>
      </c>
      <c r="U123" s="9" t="s">
        <v>368</v>
      </c>
    </row>
    <row r="124" spans="9:21" ht="72" x14ac:dyDescent="0.55000000000000004">
      <c r="I124" s="9" t="s">
        <v>287</v>
      </c>
      <c r="J124" s="9" t="s">
        <v>164</v>
      </c>
      <c r="K124" s="9">
        <v>6</v>
      </c>
      <c r="L124" s="9" t="s">
        <v>62</v>
      </c>
      <c r="M124" s="9" t="s">
        <v>369</v>
      </c>
      <c r="N124" s="9" t="s">
        <v>371</v>
      </c>
      <c r="O124" s="9" t="s">
        <v>372</v>
      </c>
      <c r="Q124" s="9">
        <v>619</v>
      </c>
      <c r="R124" s="9">
        <v>1</v>
      </c>
      <c r="S124" s="9" t="b">
        <v>0</v>
      </c>
      <c r="T124" s="9" t="b">
        <v>0</v>
      </c>
      <c r="U124" s="9" t="s">
        <v>370</v>
      </c>
    </row>
    <row r="125" spans="9:21" x14ac:dyDescent="0.55000000000000004">
      <c r="I125" s="9" t="s">
        <v>287</v>
      </c>
      <c r="J125" s="9" t="s">
        <v>164</v>
      </c>
      <c r="K125" s="9">
        <v>16</v>
      </c>
      <c r="L125" s="9" t="s">
        <v>70</v>
      </c>
      <c r="M125" s="9" t="s">
        <v>373</v>
      </c>
      <c r="Q125" s="9">
        <v>624</v>
      </c>
      <c r="R125" s="9">
        <v>1</v>
      </c>
      <c r="S125" s="9" t="b">
        <v>0</v>
      </c>
      <c r="T125" s="9" t="b">
        <v>0</v>
      </c>
      <c r="U125" s="9" t="s">
        <v>374</v>
      </c>
    </row>
    <row r="126" spans="9:21" x14ac:dyDescent="0.55000000000000004">
      <c r="I126" s="9" t="s">
        <v>287</v>
      </c>
      <c r="J126" s="9" t="s">
        <v>164</v>
      </c>
      <c r="K126" s="9">
        <v>10</v>
      </c>
      <c r="L126" s="9" t="s">
        <v>70</v>
      </c>
      <c r="M126" s="9" t="s">
        <v>375</v>
      </c>
      <c r="Q126" s="9">
        <v>640</v>
      </c>
      <c r="R126" s="9">
        <v>1</v>
      </c>
      <c r="S126" s="9" t="b">
        <v>0</v>
      </c>
      <c r="T126" s="9" t="b">
        <v>0</v>
      </c>
      <c r="U126" s="9" t="s">
        <v>376</v>
      </c>
    </row>
    <row r="127" spans="9:21" x14ac:dyDescent="0.55000000000000004">
      <c r="I127" s="9" t="s">
        <v>287</v>
      </c>
      <c r="J127" s="9" t="s">
        <v>164</v>
      </c>
      <c r="K127" s="9">
        <v>17</v>
      </c>
      <c r="L127" s="9" t="s">
        <v>70</v>
      </c>
      <c r="M127" s="9" t="s">
        <v>377</v>
      </c>
      <c r="Q127" s="9">
        <v>650</v>
      </c>
      <c r="R127" s="9">
        <v>1</v>
      </c>
      <c r="S127" s="9" t="b">
        <v>0</v>
      </c>
      <c r="T127" s="9" t="b">
        <v>0</v>
      </c>
      <c r="U127" s="9" t="s">
        <v>378</v>
      </c>
    </row>
    <row r="128" spans="9:21" x14ac:dyDescent="0.55000000000000004">
      <c r="I128" s="9" t="s">
        <v>287</v>
      </c>
      <c r="J128" s="9" t="s">
        <v>164</v>
      </c>
      <c r="K128" s="9">
        <v>14</v>
      </c>
      <c r="L128" s="9" t="s">
        <v>70</v>
      </c>
      <c r="M128" s="9" t="s">
        <v>379</v>
      </c>
      <c r="Q128" s="9">
        <v>668</v>
      </c>
      <c r="R128" s="9">
        <v>1</v>
      </c>
      <c r="S128" s="9" t="b">
        <v>0</v>
      </c>
      <c r="T128" s="9" t="b">
        <v>0</v>
      </c>
      <c r="U128" s="9" t="s">
        <v>380</v>
      </c>
    </row>
    <row r="129" spans="9:21" x14ac:dyDescent="0.55000000000000004">
      <c r="I129" s="9" t="s">
        <v>287</v>
      </c>
      <c r="J129" s="9" t="s">
        <v>164</v>
      </c>
      <c r="K129" s="9">
        <v>23</v>
      </c>
      <c r="L129" s="9" t="s">
        <v>70</v>
      </c>
      <c r="M129" s="9" t="s">
        <v>381</v>
      </c>
      <c r="Q129" s="9">
        <v>681</v>
      </c>
      <c r="R129" s="9">
        <v>1</v>
      </c>
      <c r="S129" s="9" t="b">
        <v>0</v>
      </c>
      <c r="T129" s="9" t="b">
        <v>0</v>
      </c>
      <c r="U129" s="9" t="s">
        <v>382</v>
      </c>
    </row>
    <row r="130" spans="9:21" x14ac:dyDescent="0.55000000000000004">
      <c r="I130" s="9" t="s">
        <v>287</v>
      </c>
      <c r="J130" s="9" t="s">
        <v>164</v>
      </c>
      <c r="K130" s="9">
        <v>11</v>
      </c>
      <c r="L130" s="9" t="s">
        <v>70</v>
      </c>
      <c r="M130" s="9" t="s">
        <v>383</v>
      </c>
      <c r="Q130" s="9">
        <v>704</v>
      </c>
      <c r="R130" s="9">
        <v>1</v>
      </c>
      <c r="S130" s="9" t="b">
        <v>0</v>
      </c>
      <c r="T130" s="9" t="b">
        <v>0</v>
      </c>
      <c r="U130" s="9" t="s">
        <v>384</v>
      </c>
    </row>
    <row r="131" spans="9:21" ht="90" x14ac:dyDescent="0.55000000000000004">
      <c r="I131" s="9" t="s">
        <v>385</v>
      </c>
      <c r="J131" s="9" t="s">
        <v>164</v>
      </c>
      <c r="K131" s="9">
        <v>9</v>
      </c>
      <c r="L131" s="9" t="s">
        <v>70</v>
      </c>
      <c r="M131" s="9" t="s">
        <v>386</v>
      </c>
      <c r="N131" s="9" t="s">
        <v>388</v>
      </c>
      <c r="Q131" s="9">
        <v>1</v>
      </c>
      <c r="R131" s="9">
        <v>1</v>
      </c>
      <c r="S131" s="9" t="b">
        <v>0</v>
      </c>
      <c r="T131" s="9" t="b">
        <v>0</v>
      </c>
      <c r="U131" s="9" t="s">
        <v>387</v>
      </c>
    </row>
    <row r="132" spans="9:21" ht="108" x14ac:dyDescent="0.55000000000000004">
      <c r="I132" s="9" t="s">
        <v>385</v>
      </c>
      <c r="J132" s="9" t="s">
        <v>164</v>
      </c>
      <c r="K132" s="9">
        <v>65</v>
      </c>
      <c r="L132" s="9" t="s">
        <v>62</v>
      </c>
      <c r="M132" s="9" t="s">
        <v>389</v>
      </c>
      <c r="N132" s="9" t="s">
        <v>446</v>
      </c>
      <c r="Q132" s="9">
        <v>18</v>
      </c>
      <c r="R132" s="9">
        <v>3</v>
      </c>
      <c r="S132" s="9" t="b">
        <v>0</v>
      </c>
      <c r="T132" s="9" t="b">
        <v>0</v>
      </c>
      <c r="U132" s="9" t="s">
        <v>390</v>
      </c>
    </row>
    <row r="133" spans="9:21" ht="36" x14ac:dyDescent="0.55000000000000004">
      <c r="I133" s="9" t="s">
        <v>385</v>
      </c>
      <c r="J133" s="9" t="s">
        <v>164</v>
      </c>
      <c r="K133" s="9">
        <v>19</v>
      </c>
      <c r="L133" s="9" t="s">
        <v>62</v>
      </c>
      <c r="M133" s="9" t="s">
        <v>391</v>
      </c>
      <c r="N133" s="9" t="s">
        <v>393</v>
      </c>
      <c r="O133" s="9" t="s">
        <v>394</v>
      </c>
      <c r="Q133" s="9">
        <v>77</v>
      </c>
      <c r="R133" s="9">
        <v>1</v>
      </c>
      <c r="S133" s="9" t="b">
        <v>0</v>
      </c>
      <c r="T133" s="9" t="b">
        <v>0</v>
      </c>
      <c r="U133" s="9" t="s">
        <v>392</v>
      </c>
    </row>
    <row r="134" spans="9:21" x14ac:dyDescent="0.55000000000000004">
      <c r="I134" s="9" t="s">
        <v>385</v>
      </c>
      <c r="J134" s="9" t="s">
        <v>164</v>
      </c>
      <c r="K134" s="9">
        <v>15</v>
      </c>
      <c r="L134" s="9" t="s">
        <v>70</v>
      </c>
      <c r="M134" s="9" t="s">
        <v>395</v>
      </c>
      <c r="Q134" s="9">
        <v>95</v>
      </c>
      <c r="R134" s="9">
        <v>1</v>
      </c>
      <c r="S134" s="9" t="b">
        <v>0</v>
      </c>
      <c r="T134" s="9" t="b">
        <v>0</v>
      </c>
      <c r="U134" s="9" t="s">
        <v>396</v>
      </c>
    </row>
    <row r="135" spans="9:21" ht="108" x14ac:dyDescent="0.55000000000000004">
      <c r="I135" s="9" t="s">
        <v>397</v>
      </c>
      <c r="J135" s="9" t="s">
        <v>164</v>
      </c>
      <c r="K135" s="9">
        <v>46</v>
      </c>
      <c r="L135" s="9" t="s">
        <v>62</v>
      </c>
      <c r="M135" s="9" t="s">
        <v>398</v>
      </c>
      <c r="N135" s="9" t="s">
        <v>400</v>
      </c>
      <c r="O135" s="9" t="s">
        <v>394</v>
      </c>
      <c r="Q135" s="9">
        <v>3</v>
      </c>
      <c r="R135" s="9">
        <v>2</v>
      </c>
      <c r="S135" s="9" t="b">
        <v>0</v>
      </c>
      <c r="T135" s="9" t="b">
        <v>0</v>
      </c>
      <c r="U135" s="9" t="s">
        <v>399</v>
      </c>
    </row>
    <row r="136" spans="9:21" ht="54" x14ac:dyDescent="0.55000000000000004">
      <c r="I136" s="9" t="s">
        <v>397</v>
      </c>
      <c r="J136" s="9" t="s">
        <v>164</v>
      </c>
      <c r="K136" s="9">
        <v>25</v>
      </c>
      <c r="L136" s="9" t="s">
        <v>62</v>
      </c>
      <c r="M136" s="9" t="s">
        <v>401</v>
      </c>
      <c r="N136" s="9" t="s">
        <v>403</v>
      </c>
      <c r="Q136" s="9">
        <v>49</v>
      </c>
      <c r="R136" s="9">
        <v>1</v>
      </c>
      <c r="S136" s="9" t="b">
        <v>0</v>
      </c>
      <c r="T136" s="9" t="b">
        <v>0</v>
      </c>
      <c r="U136" s="9" t="s">
        <v>402</v>
      </c>
    </row>
    <row r="137" spans="9:21" x14ac:dyDescent="0.55000000000000004">
      <c r="I137" s="9" t="s">
        <v>397</v>
      </c>
      <c r="J137" s="9" t="s">
        <v>164</v>
      </c>
      <c r="K137" s="9">
        <v>11</v>
      </c>
      <c r="L137" s="9" t="s">
        <v>62</v>
      </c>
      <c r="M137" s="9" t="s">
        <v>404</v>
      </c>
      <c r="N137" s="9" t="s">
        <v>406</v>
      </c>
      <c r="Q137" s="9">
        <v>74</v>
      </c>
      <c r="R137" s="9">
        <v>1</v>
      </c>
      <c r="S137" s="9" t="b">
        <v>0</v>
      </c>
      <c r="T137" s="9" t="b">
        <v>0</v>
      </c>
      <c r="U137" s="9" t="s">
        <v>405</v>
      </c>
    </row>
    <row r="138" spans="9:21" x14ac:dyDescent="0.55000000000000004">
      <c r="I138" s="9" t="s">
        <v>397</v>
      </c>
      <c r="J138" s="9" t="s">
        <v>164</v>
      </c>
      <c r="K138" s="9">
        <v>9</v>
      </c>
      <c r="L138" s="9" t="s">
        <v>62</v>
      </c>
      <c r="M138" s="9" t="s">
        <v>407</v>
      </c>
      <c r="N138" s="9" t="s">
        <v>409</v>
      </c>
      <c r="Q138" s="9">
        <v>85</v>
      </c>
      <c r="R138" s="9">
        <v>1</v>
      </c>
      <c r="S138" s="9" t="b">
        <v>0</v>
      </c>
      <c r="T138" s="9" t="b">
        <v>0</v>
      </c>
      <c r="U138" s="9" t="s">
        <v>408</v>
      </c>
    </row>
    <row r="139" spans="9:21" x14ac:dyDescent="0.55000000000000004">
      <c r="I139" s="9" t="s">
        <v>397</v>
      </c>
      <c r="J139" s="9" t="s">
        <v>164</v>
      </c>
      <c r="K139" s="9">
        <v>19</v>
      </c>
      <c r="L139" s="9" t="s">
        <v>62</v>
      </c>
      <c r="M139" s="9" t="s">
        <v>410</v>
      </c>
      <c r="N139" s="9" t="s">
        <v>92</v>
      </c>
      <c r="Q139" s="9">
        <v>94</v>
      </c>
      <c r="R139" s="9">
        <v>1</v>
      </c>
      <c r="S139" s="9" t="b">
        <v>0</v>
      </c>
      <c r="T139" s="9" t="b">
        <v>0</v>
      </c>
      <c r="U139" s="9" t="s">
        <v>411</v>
      </c>
    </row>
    <row r="140" spans="9:21" ht="54" x14ac:dyDescent="0.55000000000000004">
      <c r="I140" s="9" t="s">
        <v>397</v>
      </c>
      <c r="J140" s="9" t="s">
        <v>164</v>
      </c>
      <c r="K140" s="9">
        <v>6</v>
      </c>
      <c r="L140" s="9" t="s">
        <v>62</v>
      </c>
      <c r="M140" s="9" t="s">
        <v>412</v>
      </c>
      <c r="N140" s="9" t="s">
        <v>414</v>
      </c>
      <c r="O140" s="9" t="s">
        <v>104</v>
      </c>
      <c r="Q140" s="9">
        <v>113</v>
      </c>
      <c r="R140" s="9">
        <v>1</v>
      </c>
      <c r="S140" s="9" t="b">
        <v>0</v>
      </c>
      <c r="T140" s="9" t="b">
        <v>0</v>
      </c>
      <c r="U140" s="9" t="s">
        <v>413</v>
      </c>
    </row>
    <row r="141" spans="9:21" ht="72" x14ac:dyDescent="0.55000000000000004">
      <c r="I141" s="9" t="s">
        <v>397</v>
      </c>
      <c r="J141" s="9" t="s">
        <v>164</v>
      </c>
      <c r="K141" s="9">
        <v>6</v>
      </c>
      <c r="L141" s="9" t="s">
        <v>62</v>
      </c>
      <c r="M141" s="9" t="s">
        <v>415</v>
      </c>
      <c r="N141" s="9" t="s">
        <v>417</v>
      </c>
      <c r="O141" s="9" t="s">
        <v>394</v>
      </c>
      <c r="Q141" s="9">
        <v>119</v>
      </c>
      <c r="R141" s="9">
        <v>1</v>
      </c>
      <c r="S141" s="9" t="b">
        <v>0</v>
      </c>
      <c r="T141" s="9" t="b">
        <v>0</v>
      </c>
      <c r="U141" s="9" t="s">
        <v>416</v>
      </c>
    </row>
    <row r="142" spans="9:21" ht="54" x14ac:dyDescent="0.55000000000000004">
      <c r="I142" s="9" t="s">
        <v>397</v>
      </c>
      <c r="J142" s="9" t="s">
        <v>164</v>
      </c>
      <c r="K142" s="9">
        <v>4</v>
      </c>
      <c r="L142" s="9" t="s">
        <v>62</v>
      </c>
      <c r="M142" s="9" t="s">
        <v>418</v>
      </c>
      <c r="N142" s="9" t="s">
        <v>420</v>
      </c>
      <c r="Q142" s="9">
        <v>125</v>
      </c>
      <c r="R142" s="9">
        <v>1</v>
      </c>
      <c r="S142" s="9" t="b">
        <v>0</v>
      </c>
      <c r="T142" s="9" t="b">
        <v>0</v>
      </c>
      <c r="U142" s="9" t="s">
        <v>419</v>
      </c>
    </row>
    <row r="143" spans="9:21" ht="36" x14ac:dyDescent="0.55000000000000004">
      <c r="I143" s="9" t="s">
        <v>397</v>
      </c>
      <c r="J143" s="9" t="s">
        <v>164</v>
      </c>
      <c r="K143" s="9">
        <v>10</v>
      </c>
      <c r="L143" s="9" t="s">
        <v>62</v>
      </c>
      <c r="M143" s="9" t="s">
        <v>421</v>
      </c>
      <c r="N143" s="9" t="s">
        <v>423</v>
      </c>
      <c r="Q143" s="9">
        <v>129</v>
      </c>
      <c r="R143" s="9">
        <v>1</v>
      </c>
      <c r="S143" s="9" t="b">
        <v>0</v>
      </c>
      <c r="T143" s="9" t="b">
        <v>0</v>
      </c>
      <c r="U143" s="9" t="s">
        <v>422</v>
      </c>
    </row>
    <row r="144" spans="9:21" x14ac:dyDescent="0.55000000000000004">
      <c r="I144" s="9" t="s">
        <v>397</v>
      </c>
      <c r="J144" s="9" t="s">
        <v>164</v>
      </c>
      <c r="K144" s="9">
        <v>19</v>
      </c>
      <c r="L144" s="9" t="s">
        <v>62</v>
      </c>
      <c r="M144" s="9" t="s">
        <v>424</v>
      </c>
      <c r="N144" s="9" t="s">
        <v>426</v>
      </c>
      <c r="Q144" s="9">
        <v>139</v>
      </c>
      <c r="R144" s="9">
        <v>1</v>
      </c>
      <c r="S144" s="9" t="b">
        <v>0</v>
      </c>
      <c r="T144" s="9" t="b">
        <v>0</v>
      </c>
      <c r="U144" s="9" t="s">
        <v>425</v>
      </c>
    </row>
    <row r="145" spans="9:21" ht="72" x14ac:dyDescent="0.55000000000000004">
      <c r="I145" s="9" t="s">
        <v>397</v>
      </c>
      <c r="J145" s="9" t="s">
        <v>164</v>
      </c>
      <c r="K145" s="9">
        <v>6</v>
      </c>
      <c r="L145" s="9" t="s">
        <v>62</v>
      </c>
      <c r="M145" s="9" t="s">
        <v>427</v>
      </c>
      <c r="N145" s="9" t="s">
        <v>429</v>
      </c>
      <c r="Q145" s="9">
        <v>158</v>
      </c>
      <c r="R145" s="9">
        <v>1</v>
      </c>
      <c r="S145" s="9" t="b">
        <v>0</v>
      </c>
      <c r="T145" s="9" t="b">
        <v>0</v>
      </c>
      <c r="U145" s="9" t="s">
        <v>428</v>
      </c>
    </row>
    <row r="146" spans="9:21" ht="54" x14ac:dyDescent="0.55000000000000004">
      <c r="I146" s="9" t="s">
        <v>397</v>
      </c>
      <c r="J146" s="9" t="s">
        <v>164</v>
      </c>
      <c r="K146" s="9">
        <v>18</v>
      </c>
      <c r="L146" s="9" t="s">
        <v>62</v>
      </c>
      <c r="M146" s="9" t="s">
        <v>430</v>
      </c>
      <c r="N146" s="9" t="s">
        <v>432</v>
      </c>
      <c r="Q146" s="9">
        <v>164</v>
      </c>
      <c r="R146" s="9">
        <v>1</v>
      </c>
      <c r="S146" s="9" t="b">
        <v>0</v>
      </c>
      <c r="T146" s="9" t="b">
        <v>0</v>
      </c>
      <c r="U146" s="9" t="s">
        <v>431</v>
      </c>
    </row>
    <row r="147" spans="9:21" ht="36" x14ac:dyDescent="0.55000000000000004">
      <c r="I147" s="9" t="s">
        <v>397</v>
      </c>
      <c r="J147" s="9" t="s">
        <v>164</v>
      </c>
      <c r="K147" s="9">
        <v>20</v>
      </c>
      <c r="L147" s="9" t="s">
        <v>62</v>
      </c>
      <c r="M147" s="9" t="s">
        <v>433</v>
      </c>
      <c r="N147" s="9" t="s">
        <v>435</v>
      </c>
      <c r="Q147" s="9">
        <v>183</v>
      </c>
      <c r="R147" s="9">
        <v>1</v>
      </c>
      <c r="S147" s="9" t="b">
        <v>0</v>
      </c>
      <c r="T147" s="9" t="b">
        <v>0</v>
      </c>
      <c r="U147" s="9" t="s">
        <v>434</v>
      </c>
    </row>
    <row r="148" spans="9:21" ht="54" x14ac:dyDescent="0.55000000000000004">
      <c r="I148" s="9" t="s">
        <v>397</v>
      </c>
      <c r="J148" s="9" t="s">
        <v>164</v>
      </c>
      <c r="K148" s="9">
        <v>15</v>
      </c>
      <c r="L148" s="9" t="s">
        <v>62</v>
      </c>
      <c r="M148" s="9" t="s">
        <v>436</v>
      </c>
      <c r="N148" s="9" t="s">
        <v>438</v>
      </c>
      <c r="Q148" s="9">
        <v>202</v>
      </c>
      <c r="R148" s="9">
        <v>1</v>
      </c>
      <c r="S148" s="9" t="b">
        <v>0</v>
      </c>
      <c r="T148" s="9" t="b">
        <v>0</v>
      </c>
      <c r="U148" s="9" t="s">
        <v>437</v>
      </c>
    </row>
    <row r="149" spans="9:21" ht="36" x14ac:dyDescent="0.55000000000000004">
      <c r="I149" s="9" t="s">
        <v>397</v>
      </c>
      <c r="J149" s="9" t="s">
        <v>164</v>
      </c>
      <c r="K149" s="9">
        <v>19</v>
      </c>
      <c r="L149" s="9" t="s">
        <v>62</v>
      </c>
      <c r="M149" s="9" t="s">
        <v>439</v>
      </c>
      <c r="N149" s="9" t="s">
        <v>435</v>
      </c>
      <c r="Q149" s="9">
        <v>217</v>
      </c>
      <c r="R149" s="9">
        <v>1</v>
      </c>
      <c r="S149" s="9" t="b">
        <v>0</v>
      </c>
      <c r="T149" s="9" t="b">
        <v>0</v>
      </c>
      <c r="U149" s="9" t="s">
        <v>440</v>
      </c>
    </row>
    <row r="150" spans="9:21" x14ac:dyDescent="0.55000000000000004">
      <c r="I150" s="9" t="s">
        <v>397</v>
      </c>
      <c r="J150" s="9" t="s">
        <v>164</v>
      </c>
      <c r="K150" s="9">
        <v>4</v>
      </c>
      <c r="L150" s="9" t="s">
        <v>62</v>
      </c>
      <c r="M150" s="9" t="s">
        <v>447</v>
      </c>
      <c r="N150" s="9" t="s">
        <v>449</v>
      </c>
      <c r="Q150" s="9">
        <v>236</v>
      </c>
      <c r="R150" s="9">
        <v>1</v>
      </c>
      <c r="S150" s="9" t="b">
        <v>0</v>
      </c>
      <c r="T150" s="9" t="b">
        <v>0</v>
      </c>
      <c r="U150" s="9" t="s">
        <v>448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J32"/>
  <sheetViews>
    <sheetView tabSelected="1" workbookViewId="0">
      <pane ySplit="2" topLeftCell="A3" activePane="bottomLeft" state="frozen"/>
      <selection pane="bottomLeft" activeCell="C2" sqref="C2"/>
    </sheetView>
  </sheetViews>
  <sheetFormatPr defaultColWidth="6.58203125" defaultRowHeight="18" x14ac:dyDescent="0.55000000000000004"/>
  <cols>
    <col min="1" max="1" width="11.08203125" style="5" bestFit="1" customWidth="1"/>
    <col min="2" max="2" width="35.75" style="1" customWidth="1"/>
    <col min="3" max="3" width="35.75" style="1" bestFit="1" customWidth="1"/>
    <col min="4" max="4" width="10.08203125" customWidth="1"/>
    <col min="5" max="5" width="11.5" bestFit="1" customWidth="1"/>
    <col min="6" max="6" width="10.83203125" bestFit="1" customWidth="1"/>
    <col min="7" max="7" width="7.4140625" bestFit="1" customWidth="1"/>
  </cols>
  <sheetData>
    <row r="2" spans="1:10" s="4" customFormat="1" x14ac:dyDescent="0.55000000000000004">
      <c r="A2" s="5" t="s">
        <v>480</v>
      </c>
      <c r="B2" s="5" t="s">
        <v>478</v>
      </c>
      <c r="C2" s="5" t="s">
        <v>479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</row>
    <row r="3" spans="1:10" x14ac:dyDescent="0.55000000000000004">
      <c r="A3" s="5" t="str">
        <f>IF(check[[#This Row],[expected]]=check[[#This Row],[actual]],"pass","fail")</f>
        <v>fail</v>
      </c>
      <c r="B3" s="1">
        <v>9</v>
      </c>
      <c r="D3" t="s">
        <v>9</v>
      </c>
      <c r="E3" s="8" t="s">
        <v>10</v>
      </c>
      <c r="F3">
        <v>5</v>
      </c>
      <c r="G3">
        <v>4</v>
      </c>
      <c r="H3" t="s">
        <v>11</v>
      </c>
    </row>
    <row r="4" spans="1:10" x14ac:dyDescent="0.55000000000000004">
      <c r="A4" s="5" t="str">
        <f>IF(check[[#This Row],[expected]]=check[[#This Row],[actual]],"pass","fail")</f>
        <v>fail</v>
      </c>
      <c r="B4" s="1">
        <v>36</v>
      </c>
      <c r="E4" s="8" t="s">
        <v>10</v>
      </c>
      <c r="F4" t="s">
        <v>12</v>
      </c>
      <c r="G4">
        <v>4</v>
      </c>
      <c r="H4" t="s">
        <v>14</v>
      </c>
    </row>
    <row r="5" spans="1:10" x14ac:dyDescent="0.55000000000000004">
      <c r="A5" s="5" t="str">
        <f>IF(check[[#This Row],[expected]]=check[[#This Row],[actual]],"pass","fail")</f>
        <v>fail</v>
      </c>
      <c r="B5" s="1">
        <v>4</v>
      </c>
      <c r="D5" t="s">
        <v>442</v>
      </c>
      <c r="E5" s="8" t="s">
        <v>441</v>
      </c>
      <c r="F5">
        <v>4</v>
      </c>
    </row>
    <row r="6" spans="1:10" x14ac:dyDescent="0.55000000000000004">
      <c r="A6" s="5" t="str">
        <f>IF(check[[#This Row],[expected]]=check[[#This Row],[actual]],"pass","fail")</f>
        <v>fail</v>
      </c>
      <c r="B6" s="1">
        <v>4</v>
      </c>
      <c r="E6" s="8" t="s">
        <v>441</v>
      </c>
      <c r="F6" t="s">
        <v>443</v>
      </c>
    </row>
    <row r="7" spans="1:10" x14ac:dyDescent="0.55000000000000004">
      <c r="A7" s="5" t="str">
        <f>IF(check[[#This Row],[expected]]=check[[#This Row],[actual]],"pass","fail")</f>
        <v>fail</v>
      </c>
      <c r="B7" s="1">
        <v>4</v>
      </c>
      <c r="D7" t="s">
        <v>444</v>
      </c>
      <c r="E7" s="8" t="s">
        <v>441</v>
      </c>
      <c r="F7" t="s">
        <v>443</v>
      </c>
    </row>
    <row r="8" spans="1:10" x14ac:dyDescent="0.55000000000000004">
      <c r="A8" s="5" t="str">
        <f>IF(check[[#This Row],[expected]]=check[[#This Row],[actual]],"pass","fail")</f>
        <v>fail</v>
      </c>
      <c r="B8" s="1">
        <v>4</v>
      </c>
      <c r="E8" s="8" t="s">
        <v>441</v>
      </c>
      <c r="F8" t="s">
        <v>445</v>
      </c>
    </row>
    <row r="9" spans="1:10" x14ac:dyDescent="0.55000000000000004">
      <c r="A9" s="5" t="str">
        <f>IF(check[[#This Row],[expected]]=check[[#This Row],[actual]],"pass","fail")</f>
        <v>fail</v>
      </c>
      <c r="B9" s="1" t="s">
        <v>455</v>
      </c>
      <c r="D9" t="s">
        <v>19</v>
      </c>
      <c r="E9" s="8" t="s">
        <v>24</v>
      </c>
      <c r="F9">
        <v>6</v>
      </c>
      <c r="G9">
        <v>-5</v>
      </c>
      <c r="H9">
        <v>3</v>
      </c>
    </row>
    <row r="10" spans="1:10" x14ac:dyDescent="0.55000000000000004">
      <c r="A10" s="5" t="str">
        <f>IF(check[[#This Row],[expected]]=check[[#This Row],[actual]],"pass","fail")</f>
        <v>fail</v>
      </c>
      <c r="B10" s="1" t="s">
        <v>456</v>
      </c>
      <c r="D10" t="s">
        <v>25</v>
      </c>
      <c r="E10" s="8" t="s">
        <v>23</v>
      </c>
      <c r="F10" t="s">
        <v>0</v>
      </c>
      <c r="G10" t="s">
        <v>20</v>
      </c>
      <c r="H10">
        <v>5</v>
      </c>
      <c r="I10" t="s">
        <v>13</v>
      </c>
    </row>
    <row r="11" spans="1:10" x14ac:dyDescent="0.55000000000000004">
      <c r="A11" s="5" t="str">
        <f>IF(check[[#This Row],[expected]]=check[[#This Row],[actual]],"pass","fail")</f>
        <v>fail</v>
      </c>
      <c r="B11" s="1" t="s">
        <v>457</v>
      </c>
      <c r="E11" s="8" t="s">
        <v>16</v>
      </c>
      <c r="F11" t="s">
        <v>28</v>
      </c>
      <c r="G11" t="s">
        <v>29</v>
      </c>
      <c r="H11" t="s">
        <v>30</v>
      </c>
    </row>
    <row r="12" spans="1:10" x14ac:dyDescent="0.55000000000000004">
      <c r="A12" s="5" t="str">
        <f>IF(check[[#This Row],[expected]]=check[[#This Row],[actual]],"pass","fail")</f>
        <v>fail</v>
      </c>
      <c r="B12" s="1" t="s">
        <v>458</v>
      </c>
      <c r="D12" t="s">
        <v>33</v>
      </c>
      <c r="E12" s="8" t="s">
        <v>31</v>
      </c>
      <c r="F12">
        <v>2</v>
      </c>
      <c r="G12">
        <v>0</v>
      </c>
      <c r="H12">
        <v>3</v>
      </c>
      <c r="I12">
        <v>1</v>
      </c>
      <c r="J12">
        <v>0</v>
      </c>
    </row>
    <row r="13" spans="1:10" x14ac:dyDescent="0.55000000000000004">
      <c r="A13" s="6" t="str">
        <f>IF(check[[#This Row],[expected]]=check[[#This Row],[actual]],"pass","fail")</f>
        <v>fail</v>
      </c>
      <c r="B13" s="2" t="s">
        <v>459</v>
      </c>
      <c r="C13" s="2"/>
      <c r="E13" s="8" t="s">
        <v>37</v>
      </c>
      <c r="F13" t="s">
        <v>34</v>
      </c>
    </row>
    <row r="14" spans="1:10" x14ac:dyDescent="0.55000000000000004">
      <c r="A14" s="6" t="str">
        <f>IF(check[[#This Row],[expected]]=check[[#This Row],[actual]],"pass","fail")</f>
        <v>fail</v>
      </c>
      <c r="B14" s="2" t="s">
        <v>475</v>
      </c>
      <c r="C14" s="2"/>
      <c r="D14" t="s">
        <v>473</v>
      </c>
      <c r="E14" s="8" t="s">
        <v>471</v>
      </c>
      <c r="F14" t="s">
        <v>472</v>
      </c>
    </row>
    <row r="15" spans="1:10" x14ac:dyDescent="0.55000000000000004">
      <c r="A15" s="6" t="str">
        <f>IF(check[[#This Row],[expected]]=check[[#This Row],[actual]],"pass","fail")</f>
        <v>fail</v>
      </c>
      <c r="B15" s="2" t="s">
        <v>477</v>
      </c>
      <c r="C15" s="2"/>
      <c r="E15" s="8" t="s">
        <v>37</v>
      </c>
      <c r="F15" t="s">
        <v>474</v>
      </c>
    </row>
    <row r="16" spans="1:10" x14ac:dyDescent="0.55000000000000004">
      <c r="A16" s="6" t="str">
        <f>IF(check[[#This Row],[expected]]=check[[#This Row],[actual]],"pass","fail")</f>
        <v>fail</v>
      </c>
      <c r="B16" s="2">
        <v>1320</v>
      </c>
      <c r="C16" s="2"/>
      <c r="E16" s="8" t="s">
        <v>470</v>
      </c>
      <c r="F16">
        <v>-5</v>
      </c>
      <c r="G16" t="s">
        <v>34</v>
      </c>
    </row>
    <row r="17" spans="1:9" x14ac:dyDescent="0.55000000000000004">
      <c r="A17" s="5" t="str">
        <f>IF(check[[#This Row],[expected]]=check[[#This Row],[actual]],"pass","fail")</f>
        <v>fail</v>
      </c>
      <c r="B17" s="1" t="s">
        <v>460</v>
      </c>
      <c r="E17" s="8" t="s">
        <v>23</v>
      </c>
      <c r="F17" t="s">
        <v>35</v>
      </c>
      <c r="G17" t="s">
        <v>36</v>
      </c>
      <c r="H17" t="s">
        <v>34</v>
      </c>
    </row>
    <row r="18" spans="1:9" x14ac:dyDescent="0.55000000000000004">
      <c r="A18" s="5" t="str">
        <f>IF(check[[#This Row],[expected]]=check[[#This Row],[actual]],"pass","fail")</f>
        <v>fail</v>
      </c>
      <c r="B18" s="1" t="s">
        <v>476</v>
      </c>
      <c r="E18" s="8" t="s">
        <v>23</v>
      </c>
      <c r="F18" t="s">
        <v>35</v>
      </c>
      <c r="G18" t="s">
        <v>21</v>
      </c>
      <c r="H18" t="s">
        <v>474</v>
      </c>
    </row>
    <row r="19" spans="1:9" x14ac:dyDescent="0.55000000000000004">
      <c r="A19" s="5" t="str">
        <f>IF(check[[#This Row],[expected]]=check[[#This Row],[actual]],"pass","fail")</f>
        <v>fail</v>
      </c>
      <c r="B19" s="1" t="s">
        <v>461</v>
      </c>
      <c r="D19" t="s">
        <v>15</v>
      </c>
      <c r="E19" s="8" t="s">
        <v>16</v>
      </c>
      <c r="F19">
        <v>2</v>
      </c>
      <c r="G19">
        <v>3</v>
      </c>
    </row>
    <row r="20" spans="1:9" ht="36" x14ac:dyDescent="0.55000000000000004">
      <c r="A20" s="7" t="str">
        <f>IF(check[[#This Row],[expected]]=check[[#This Row],[actual]],"pass","fail")</f>
        <v>fail</v>
      </c>
      <c r="B20" s="3" t="s">
        <v>462</v>
      </c>
      <c r="C20" s="3"/>
      <c r="E20" s="8" t="s">
        <v>27</v>
      </c>
      <c r="F20" t="s">
        <v>26</v>
      </c>
      <c r="G20" t="s">
        <v>17</v>
      </c>
    </row>
    <row r="21" spans="1:9" x14ac:dyDescent="0.55000000000000004">
      <c r="A21" s="5" t="str">
        <f>IF(check[[#This Row],[expected]]=check[[#This Row],[actual]],"pass","fail")</f>
        <v>fail</v>
      </c>
      <c r="B21" s="1" t="s">
        <v>463</v>
      </c>
      <c r="E21" s="8" t="s">
        <v>16</v>
      </c>
      <c r="F21" t="s">
        <v>21</v>
      </c>
      <c r="G21" t="s">
        <v>12</v>
      </c>
      <c r="H21" t="s">
        <v>26</v>
      </c>
    </row>
    <row r="22" spans="1:9" x14ac:dyDescent="0.55000000000000004">
      <c r="A22" s="5" t="str">
        <f>IF(check[[#This Row],[expected]]=check[[#This Row],[actual]],"pass","fail")</f>
        <v>fail</v>
      </c>
      <c r="B22" s="1" t="s">
        <v>464</v>
      </c>
      <c r="D22" t="s">
        <v>15</v>
      </c>
      <c r="E22" s="8" t="s">
        <v>16</v>
      </c>
      <c r="F22">
        <v>3</v>
      </c>
      <c r="G22">
        <v>5</v>
      </c>
    </row>
    <row r="23" spans="1:9" ht="54" x14ac:dyDescent="0.55000000000000004">
      <c r="A23" s="7" t="str">
        <f>IF(check[[#This Row],[expected]]=check[[#This Row],[actual]],"pass","fail")</f>
        <v>fail</v>
      </c>
      <c r="B23" s="3" t="s">
        <v>465</v>
      </c>
      <c r="C23" s="3"/>
      <c r="D23" t="s">
        <v>19</v>
      </c>
      <c r="E23" s="8" t="s">
        <v>32</v>
      </c>
      <c r="F23" t="s">
        <v>17</v>
      </c>
      <c r="G23">
        <v>3</v>
      </c>
      <c r="H23">
        <v>5</v>
      </c>
    </row>
    <row r="24" spans="1:9" ht="54" x14ac:dyDescent="0.55000000000000004">
      <c r="A24" s="7" t="str">
        <f>IF(check[[#This Row],[expected]]=check[[#This Row],[actual]],"pass","fail")</f>
        <v>fail</v>
      </c>
      <c r="B24" s="3" t="s">
        <v>466</v>
      </c>
      <c r="C24" s="3"/>
      <c r="E24" s="8" t="s">
        <v>1</v>
      </c>
      <c r="F24" t="s">
        <v>0</v>
      </c>
      <c r="G24" t="s">
        <v>20</v>
      </c>
      <c r="H24">
        <v>5</v>
      </c>
      <c r="I24" t="s">
        <v>13</v>
      </c>
    </row>
    <row r="25" spans="1:9" x14ac:dyDescent="0.55000000000000004">
      <c r="A25" s="5" t="str">
        <f>IF(check[[#This Row],[expected]]=check[[#This Row],[actual]],"pass","fail")</f>
        <v>fail</v>
      </c>
      <c r="B25" s="1" t="s">
        <v>467</v>
      </c>
      <c r="D25" t="s">
        <v>15</v>
      </c>
      <c r="E25" s="8" t="s">
        <v>16</v>
      </c>
      <c r="F25">
        <v>2</v>
      </c>
      <c r="G25">
        <v>3</v>
      </c>
      <c r="H25">
        <v>4</v>
      </c>
    </row>
    <row r="26" spans="1:9" ht="126" x14ac:dyDescent="0.55000000000000004">
      <c r="A26" s="7" t="str">
        <f>IF(check[[#This Row],[expected]]=check[[#This Row],[actual]],"pass","fail")</f>
        <v>fail</v>
      </c>
      <c r="B26" s="3" t="s">
        <v>468</v>
      </c>
      <c r="C26" s="3"/>
      <c r="D26" t="s">
        <v>19</v>
      </c>
      <c r="E26" s="8" t="s">
        <v>18</v>
      </c>
      <c r="F26" t="s">
        <v>17</v>
      </c>
    </row>
    <row r="27" spans="1:9" ht="126" x14ac:dyDescent="0.55000000000000004">
      <c r="A27" s="7" t="str">
        <f>IF(check[[#This Row],[expected]]=check[[#This Row],[actual]],"pass","fail")</f>
        <v>fail</v>
      </c>
      <c r="B27" s="3" t="s">
        <v>469</v>
      </c>
      <c r="C27" s="3"/>
      <c r="E27" s="8" t="s">
        <v>22</v>
      </c>
      <c r="F27" t="s">
        <v>10</v>
      </c>
      <c r="G27" t="s">
        <v>21</v>
      </c>
      <c r="H27">
        <v>5</v>
      </c>
      <c r="I27" t="s">
        <v>14</v>
      </c>
    </row>
    <row r="28" spans="1:9" x14ac:dyDescent="0.55000000000000004">
      <c r="A28" s="5" t="str">
        <f>IF(check[[#This Row],[expected]]=check[[#This Row],[actual]],"pass","fail")</f>
        <v>fail</v>
      </c>
      <c r="B28" s="1">
        <v>0.78539816339744795</v>
      </c>
      <c r="D28" t="s">
        <v>42</v>
      </c>
      <c r="E28" s="8" t="s">
        <v>38</v>
      </c>
      <c r="F28">
        <v>1</v>
      </c>
      <c r="G28" t="s">
        <v>40</v>
      </c>
    </row>
    <row r="29" spans="1:9" x14ac:dyDescent="0.55000000000000004">
      <c r="A29" s="5" t="str">
        <f>IF(check[[#This Row],[expected]]=check[[#This Row],[actual]],"pass","fail")</f>
        <v>fail</v>
      </c>
      <c r="B29" s="1">
        <v>3.14159265358979</v>
      </c>
      <c r="E29" s="8" t="s">
        <v>10</v>
      </c>
      <c r="F29" t="s">
        <v>43</v>
      </c>
      <c r="G29">
        <v>4</v>
      </c>
      <c r="H29" t="s">
        <v>41</v>
      </c>
    </row>
    <row r="30" spans="1:9" x14ac:dyDescent="0.55000000000000004">
      <c r="A30" s="5" t="str">
        <f>IF(check[[#This Row],[expected]]=check[[#This Row],[actual]],"pass","fail")</f>
        <v>fail</v>
      </c>
      <c r="B30" s="1">
        <v>0.70710678118654702</v>
      </c>
      <c r="E30" s="8" t="s">
        <v>38</v>
      </c>
      <c r="F30" t="s">
        <v>43</v>
      </c>
      <c r="G30" t="s">
        <v>39</v>
      </c>
    </row>
    <row r="31" spans="1:9" x14ac:dyDescent="0.55000000000000004">
      <c r="A31" s="5" t="str">
        <f>IF(check[[#This Row],[expected]]=check[[#This Row],[actual]],"pass","fail")</f>
        <v>fail</v>
      </c>
      <c r="B31" s="1">
        <v>1.4142135623731</v>
      </c>
      <c r="D31" t="s">
        <v>45</v>
      </c>
      <c r="E31" s="8" t="s">
        <v>38</v>
      </c>
      <c r="F31">
        <v>2</v>
      </c>
      <c r="G31" t="s">
        <v>44</v>
      </c>
    </row>
    <row r="32" spans="1:9" x14ac:dyDescent="0.55000000000000004">
      <c r="A32" s="5" t="str">
        <f>IF(check[[#This Row],[expected]]=check[[#This Row],[actual]],"pass","fail")</f>
        <v>fail</v>
      </c>
      <c r="B32" s="1">
        <v>0.70710678118654802</v>
      </c>
      <c r="E32" s="8" t="s">
        <v>10</v>
      </c>
      <c r="F32" t="s">
        <v>46</v>
      </c>
      <c r="G32">
        <v>2</v>
      </c>
      <c r="H32" t="s">
        <v>47</v>
      </c>
    </row>
  </sheetData>
  <phoneticPr fontId="1"/>
  <conditionalFormatting sqref="A3:A32">
    <cfRule type="cellIs" dxfId="6" priority="1" operator="equal">
      <formula>"fail"</formula>
    </cfRule>
    <cfRule type="cellIs" dxfId="5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Sheet6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mnru</cp:lastModifiedBy>
  <dcterms:created xsi:type="dcterms:W3CDTF">2020-01-22T09:41:44Z</dcterms:created>
  <dcterms:modified xsi:type="dcterms:W3CDTF">2020-01-26T05:18:23Z</dcterms:modified>
</cp:coreProperties>
</file>